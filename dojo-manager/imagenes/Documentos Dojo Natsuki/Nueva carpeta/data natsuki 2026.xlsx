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portswear-my.sharepoint.com/personal/cprestan_aswgr_com/Documents/Escritorio/Documentos Dojo Natsuki/"/>
    </mc:Choice>
  </mc:AlternateContent>
  <xr:revisionPtr revIDLastSave="5" documentId="13_ncr:1_{1EA361D1-AA0E-485D-934F-3ED028949091}" xr6:coauthVersionLast="47" xr6:coauthVersionMax="47" xr10:uidLastSave="{8D5B7CFD-A7B4-417E-81B6-567F0836FB72}"/>
  <bookViews>
    <workbookView xWindow="-165" yWindow="-165" windowWidth="29130" windowHeight="15810" activeTab="1" xr2:uid="{6C539160-819B-48BF-8B97-C398A358C0C4}"/>
  </bookViews>
  <sheets>
    <sheet name="datos Generales" sheetId="1" r:id="rId1"/>
    <sheet name="Hoja2" sheetId="2" r:id="rId2"/>
  </sheets>
  <definedNames>
    <definedName name="_xlnm._FilterDatabase" localSheetId="0" hidden="1">'datos Generales'!$A$1:$AG$97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2" i="1" l="1"/>
  <c r="E93" i="1"/>
  <c r="E94" i="1"/>
  <c r="E95" i="1"/>
  <c r="E96" i="1"/>
  <c r="E97" i="1"/>
  <c r="E2" i="1"/>
  <c r="E31" i="1"/>
  <c r="E32" i="1"/>
  <c r="E33" i="1"/>
  <c r="E34" i="1"/>
  <c r="E35" i="1"/>
  <c r="E3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3" i="1"/>
</calcChain>
</file>

<file path=xl/sharedStrings.xml><?xml version="1.0" encoding="utf-8"?>
<sst xmlns="http://schemas.openxmlformats.org/spreadsheetml/2006/main" count="566" uniqueCount="226">
  <si>
    <t>Balois Chavarria</t>
  </si>
  <si>
    <t>Lucas Chavarria</t>
  </si>
  <si>
    <t>Deyvi Ciprian</t>
  </si>
  <si>
    <t>Thala Mejia</t>
  </si>
  <si>
    <t>Nuria Fernandez</t>
  </si>
  <si>
    <t>Genesis Díaz</t>
  </si>
  <si>
    <t>Victor Peralta</t>
  </si>
  <si>
    <t>Karim Pitti</t>
  </si>
  <si>
    <t>Isaiah Pitti</t>
  </si>
  <si>
    <t>Khaleb Pitti</t>
  </si>
  <si>
    <t>Maricruz Milwood</t>
  </si>
  <si>
    <t>Humberto Moreno</t>
  </si>
  <si>
    <t>Diego Moreno</t>
  </si>
  <si>
    <t>Carla Bermudez</t>
  </si>
  <si>
    <t>Zoe Rovira</t>
  </si>
  <si>
    <t>Telemaco Athanasiadis</t>
  </si>
  <si>
    <t>Adrián Athanasiadis</t>
  </si>
  <si>
    <t>Fairuz Fadlallah</t>
  </si>
  <si>
    <t>Alicia Gonzalez</t>
  </si>
  <si>
    <t>Ana Gabriella Campos</t>
  </si>
  <si>
    <t>Joseph Dean</t>
  </si>
  <si>
    <t>PANAGEOS</t>
  </si>
  <si>
    <t>Georgios Karnakis</t>
  </si>
  <si>
    <t>Marieangie Restrepo</t>
  </si>
  <si>
    <t>Desiree Gonzalez</t>
  </si>
  <si>
    <t>Ayme Oro</t>
  </si>
  <si>
    <t>Mateo Prestan</t>
  </si>
  <si>
    <t>Cristhian Prestan</t>
  </si>
  <si>
    <t>Peggy Riera</t>
  </si>
  <si>
    <t>Yahiner Espinoza</t>
  </si>
  <si>
    <t>Dina Soto</t>
  </si>
  <si>
    <t>Isaac Esaa</t>
  </si>
  <si>
    <t>Sara Esaa</t>
  </si>
  <si>
    <t>Pablo Vela</t>
  </si>
  <si>
    <t>Francisco Vela</t>
  </si>
  <si>
    <t>Merybeth Quirós</t>
  </si>
  <si>
    <t>Matías Mendoza</t>
  </si>
  <si>
    <t>Diana Martínez</t>
  </si>
  <si>
    <t>Leandro Martínez</t>
  </si>
  <si>
    <t>Luis Vargas</t>
  </si>
  <si>
    <t>Ethan Vargas</t>
  </si>
  <si>
    <t>Rosa Méndez</t>
  </si>
  <si>
    <t>Fausto Abrego</t>
  </si>
  <si>
    <t>Juan Villegas</t>
  </si>
  <si>
    <t>Diego Villegas</t>
  </si>
  <si>
    <t>Daibeth Maldonado</t>
  </si>
  <si>
    <t>Mateo Rodriguez</t>
  </si>
  <si>
    <t>Sandra Espinosa</t>
  </si>
  <si>
    <t>Sabid Espinosa</t>
  </si>
  <si>
    <t>Adrian Arauz</t>
  </si>
  <si>
    <t>Elina Detresno</t>
  </si>
  <si>
    <t>Nicolas Cedeño</t>
  </si>
  <si>
    <t>Julio  Vivero</t>
  </si>
  <si>
    <t>Juan Diego Vivero</t>
  </si>
  <si>
    <t>Raquel McNulty</t>
  </si>
  <si>
    <t>Isaac McNulty</t>
  </si>
  <si>
    <t>Jose Vera</t>
  </si>
  <si>
    <t>Thiago Vera</t>
  </si>
  <si>
    <t>Gabriel Pigueras</t>
  </si>
  <si>
    <t>Jose Gabriel Pigueras</t>
  </si>
  <si>
    <t>Mariela</t>
  </si>
  <si>
    <t>Maria cristina</t>
  </si>
  <si>
    <t>Andrea Rondon</t>
  </si>
  <si>
    <t>Miguel Murillo</t>
  </si>
  <si>
    <t>Aldina Scarano</t>
  </si>
  <si>
    <t>Santiago Montero</t>
  </si>
  <si>
    <t>Omar Demercado</t>
  </si>
  <si>
    <t>Christopher Demercado</t>
  </si>
  <si>
    <t>Stephani Demercado</t>
  </si>
  <si>
    <t>Magdeline Peñaloza</t>
  </si>
  <si>
    <t>Alexander Mariette</t>
  </si>
  <si>
    <t>Sandra Yañez</t>
  </si>
  <si>
    <t>Aaron Yañez</t>
  </si>
  <si>
    <t>Dayana Rodriguez</t>
  </si>
  <si>
    <t>Thiago Palacios</t>
  </si>
  <si>
    <t>Monica Garcia</t>
  </si>
  <si>
    <t>Nicolas Lopez</t>
  </si>
  <si>
    <t>Maryury Gonzalez</t>
  </si>
  <si>
    <t>Emilio Cabre</t>
  </si>
  <si>
    <t>Javier Duran</t>
  </si>
  <si>
    <t>Luccas Duran</t>
  </si>
  <si>
    <t>Melissa Saint Malo</t>
  </si>
  <si>
    <t>Juan Jose Saint Malo</t>
  </si>
  <si>
    <t>Karen Michelle</t>
  </si>
  <si>
    <t>Alessandro Olmedo</t>
  </si>
  <si>
    <t>Lilian Cuellar</t>
  </si>
  <si>
    <t>Juan Andres Molina</t>
  </si>
  <si>
    <t>Annnna Thompson</t>
  </si>
  <si>
    <t>Aryan Garcia</t>
  </si>
  <si>
    <t>Ildeann Kadoch</t>
  </si>
  <si>
    <t>Luka Cardona</t>
  </si>
  <si>
    <t>Favianny Finol</t>
  </si>
  <si>
    <t>Moises Paredes</t>
  </si>
  <si>
    <t>Naivelis Castellana</t>
  </si>
  <si>
    <t>Ana Victoria Urribarri</t>
  </si>
  <si>
    <t>Marhaba Aparicio</t>
  </si>
  <si>
    <t>Luisa Buenaventura</t>
  </si>
  <si>
    <t>Lorenzo Salmon</t>
  </si>
  <si>
    <t>Juan Carlos Quisbert</t>
  </si>
  <si>
    <t>Max Quisbert</t>
  </si>
  <si>
    <t>Daniel Carbone</t>
  </si>
  <si>
    <t>Camilo Carbone</t>
  </si>
  <si>
    <t>Maria Colon</t>
  </si>
  <si>
    <t>Gabriel Carrillo</t>
  </si>
  <si>
    <t>Christian Vargas</t>
  </si>
  <si>
    <t>Taylin Hurtado</t>
  </si>
  <si>
    <t>Alejandra Nuñez</t>
  </si>
  <si>
    <t>Cristina Batista</t>
  </si>
  <si>
    <t>Andres Alarcón</t>
  </si>
  <si>
    <t>Alejandro Alarcón</t>
  </si>
  <si>
    <t>Cristina Michele Batista</t>
  </si>
  <si>
    <t>Yenni Olivares</t>
  </si>
  <si>
    <t>David Aguilera</t>
  </si>
  <si>
    <t>Delis Aguilera</t>
  </si>
  <si>
    <t>Angelica Gamboa</t>
  </si>
  <si>
    <t>Edgardo Guillen</t>
  </si>
  <si>
    <t>Juan  Zuñiga</t>
  </si>
  <si>
    <t>Juan Lucas Zuñiga</t>
  </si>
  <si>
    <t>Laura Rivas</t>
  </si>
  <si>
    <t>Emma Velásquez</t>
  </si>
  <si>
    <t>Anahil Trómpiz</t>
  </si>
  <si>
    <t>Gael Sarasqueta</t>
  </si>
  <si>
    <t>Gledys</t>
  </si>
  <si>
    <t>Bruno Cruz</t>
  </si>
  <si>
    <t>Yelena</t>
  </si>
  <si>
    <t>Gian Fuentes</t>
  </si>
  <si>
    <t>Karin Batista</t>
  </si>
  <si>
    <t>Daniel Escobar</t>
  </si>
  <si>
    <t>katerine Hernandez</t>
  </si>
  <si>
    <t>Ethan Cargill</t>
  </si>
  <si>
    <t>Francisco Rodriguez</t>
  </si>
  <si>
    <t>Ema Chavarria</t>
  </si>
  <si>
    <t>Karen V</t>
  </si>
  <si>
    <t>Jose Manuel Luna</t>
  </si>
  <si>
    <t>Ana Samaniego</t>
  </si>
  <si>
    <t>Jese Espinosa</t>
  </si>
  <si>
    <t>Andrea Jimenez</t>
  </si>
  <si>
    <t>Juan David Fernandez</t>
  </si>
  <si>
    <t>Deissy Corredor</t>
  </si>
  <si>
    <t>Juan Esteban Molina</t>
  </si>
  <si>
    <t>Alexandra Abrego</t>
  </si>
  <si>
    <t>Xavier Gonzalez</t>
  </si>
  <si>
    <t>Raul Lasso</t>
  </si>
  <si>
    <t>Maria Anagnnopoulou</t>
  </si>
  <si>
    <t>Jorge Merino</t>
  </si>
  <si>
    <t>Ninotcka Bustamante</t>
  </si>
  <si>
    <t>Thiago Roquebert</t>
  </si>
  <si>
    <t>#T-shirt</t>
  </si>
  <si>
    <t>Nombre del Alumno</t>
  </si>
  <si>
    <t>Nombre del Acudiente</t>
  </si>
  <si>
    <t>1 al 5</t>
  </si>
  <si>
    <t>Marzo</t>
  </si>
  <si>
    <t>Mayo</t>
  </si>
  <si>
    <t>Julio</t>
  </si>
  <si>
    <t>Septiembre</t>
  </si>
  <si>
    <t>Noviembre</t>
  </si>
  <si>
    <t>Junio</t>
  </si>
  <si>
    <t>Agosto</t>
  </si>
  <si>
    <t>Octubre</t>
  </si>
  <si>
    <t>Febrero</t>
  </si>
  <si>
    <t>Abril</t>
  </si>
  <si>
    <t>Enero</t>
  </si>
  <si>
    <t>Diciembre</t>
  </si>
  <si>
    <t>15 al 20</t>
  </si>
  <si>
    <t>Ciclo de Pago</t>
  </si>
  <si>
    <t>Mensualidad</t>
  </si>
  <si>
    <t>Rango</t>
  </si>
  <si>
    <t xml:space="preserve"> AGO 2020</t>
  </si>
  <si>
    <t xml:space="preserve"> DIC 2020</t>
  </si>
  <si>
    <t xml:space="preserve"> ABR 2021</t>
  </si>
  <si>
    <t xml:space="preserve"> AGO 2021</t>
  </si>
  <si>
    <t xml:space="preserve"> DIC 2021</t>
  </si>
  <si>
    <t>MAY 2022</t>
  </si>
  <si>
    <t xml:space="preserve"> AGO 2022</t>
  </si>
  <si>
    <t xml:space="preserve"> DIC 2022</t>
  </si>
  <si>
    <t>MAY 2023</t>
  </si>
  <si>
    <t xml:space="preserve"> AGO 2023</t>
  </si>
  <si>
    <t>MAY 2024</t>
  </si>
  <si>
    <t xml:space="preserve"> AGO 2024</t>
  </si>
  <si>
    <t xml:space="preserve"> DIC 2024</t>
  </si>
  <si>
    <t>MAY 2025</t>
  </si>
  <si>
    <t xml:space="preserve"> AGO 2025</t>
  </si>
  <si>
    <t xml:space="preserve"> DIC 2025</t>
  </si>
  <si>
    <t>MAY 2026</t>
  </si>
  <si>
    <t xml:space="preserve"> AGO 2026</t>
  </si>
  <si>
    <t xml:space="preserve"> DIC 2026</t>
  </si>
  <si>
    <t>Rango Actual</t>
  </si>
  <si>
    <t>10mo</t>
  </si>
  <si>
    <t>9no</t>
  </si>
  <si>
    <t>8vo</t>
  </si>
  <si>
    <t>7mo</t>
  </si>
  <si>
    <t xml:space="preserve"> DIC 2023</t>
  </si>
  <si>
    <t>Fecha de nacimiento</t>
  </si>
  <si>
    <t>Atleta Ranking</t>
  </si>
  <si>
    <t>Genero</t>
  </si>
  <si>
    <t>Seguro medico</t>
  </si>
  <si>
    <t>Nacionalidad</t>
  </si>
  <si>
    <t>5to</t>
  </si>
  <si>
    <t>11vo</t>
  </si>
  <si>
    <t>12vo</t>
  </si>
  <si>
    <t>Edad</t>
  </si>
  <si>
    <t>Ivan Sanchez</t>
  </si>
  <si>
    <t>M</t>
  </si>
  <si>
    <t>F</t>
  </si>
  <si>
    <t>Venezolana</t>
  </si>
  <si>
    <t>Si</t>
  </si>
  <si>
    <t>3er Dan</t>
  </si>
  <si>
    <t>1er Kyu</t>
  </si>
  <si>
    <t>1er  Kyu</t>
  </si>
  <si>
    <t>2do  Kyu</t>
  </si>
  <si>
    <t>3er  Kyu</t>
  </si>
  <si>
    <t>5to Kyu</t>
  </si>
  <si>
    <t>6to Kyu</t>
  </si>
  <si>
    <t>7mo Kyu</t>
  </si>
  <si>
    <t>Ana de Lora</t>
  </si>
  <si>
    <t>Martin Santiago</t>
  </si>
  <si>
    <t>Javier Santiago</t>
  </si>
  <si>
    <t>Participación</t>
  </si>
  <si>
    <t>#</t>
  </si>
  <si>
    <t>kata</t>
  </si>
  <si>
    <t>Taikioku shodan</t>
  </si>
  <si>
    <t xml:space="preserve"> </t>
  </si>
  <si>
    <t>PAKA1985</t>
  </si>
  <si>
    <t>Julio 2023</t>
  </si>
  <si>
    <t>Fecha de Inicio</t>
  </si>
  <si>
    <t>Panameña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</si>
</sst>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540A]* #,##0.00_ ;_-[$$-540A]* \-#,##0.00\ ;_-[$$-540A]* &quot;-&quot;??_ ;_-@_ "/>
    <numFmt numFmtId="165" formatCode="[$$-409]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7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5" fontId="3" fillId="4" borderId="4" xfId="0" applyNumberFormat="1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49" fontId="1" fillId="12" borderId="1" xfId="0" applyNumberFormat="1" applyFont="1" applyFill="1" applyBorder="1" applyAlignment="1">
      <alignment horizontal="center" vertical="center" wrapText="1"/>
    </xf>
    <xf numFmtId="49" fontId="1" fillId="12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0" fillId="0" borderId="1" xfId="0" applyBorder="1"/>
    <xf numFmtId="0" fontId="1" fillId="6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0" fontId="0" fillId="17" borderId="1" xfId="0" applyFill="1" applyBorder="1"/>
    <xf numFmtId="0" fontId="0" fillId="5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/>
    </xf>
    <xf numFmtId="14" fontId="3" fillId="4" borderId="1" xfId="0" applyNumberFormat="1" applyFont="1" applyFill="1" applyBorder="1"/>
    <xf numFmtId="0" fontId="2" fillId="2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/>
    </xf>
    <xf numFmtId="0" fontId="2" fillId="2" borderId="6" xfId="0" applyFont="1" applyFill="1" applyBorder="1" applyAlignment="1">
      <alignment wrapText="1"/>
    </xf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right"/>
    </xf>
    <xf numFmtId="14" fontId="0" fillId="21" borderId="1" xfId="0" applyNumberFormat="1" applyFill="1" applyBorder="1"/>
    <xf numFmtId="14" fontId="0" fillId="20" borderId="1" xfId="0" applyNumberFormat="1" applyFill="1" applyBorder="1"/>
    <xf numFmtId="0" fontId="3" fillId="3" borderId="8" xfId="0" applyFont="1" applyFill="1" applyBorder="1" applyAlignment="1">
      <alignment horizontal="center" vertical="center"/>
    </xf>
    <xf numFmtId="0" fontId="3" fillId="4" borderId="8" xfId="0" applyFont="1" applyFill="1" applyBorder="1"/>
    <xf numFmtId="14" fontId="3" fillId="4" borderId="8" xfId="0" applyNumberFormat="1" applyFont="1" applyFill="1" applyBorder="1"/>
    <xf numFmtId="0" fontId="6" fillId="4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2" borderId="1" xfId="0" applyFont="1" applyFill="1" applyBorder="1"/>
    <xf numFmtId="0" fontId="0" fillId="22" borderId="1" xfId="0" applyFill="1" applyBorder="1" applyAlignment="1">
      <alignment horizontal="center"/>
    </xf>
    <xf numFmtId="0" fontId="0" fillId="22" borderId="1" xfId="0" applyFill="1" applyBorder="1"/>
    <xf numFmtId="0" fontId="0" fillId="22" borderId="0" xfId="0" applyFill="1"/>
    <xf numFmtId="0" fontId="3" fillId="23" borderId="1" xfId="0" applyFont="1" applyFill="1" applyBorder="1"/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0" fontId="0" fillId="23" borderId="0" xfId="0" applyFill="1"/>
    <xf numFmtId="0" fontId="3" fillId="24" borderId="1" xfId="0" applyFont="1" applyFill="1" applyBorder="1"/>
    <xf numFmtId="0" fontId="0" fillId="24" borderId="1" xfId="0" applyFill="1" applyBorder="1" applyAlignment="1">
      <alignment horizontal="center"/>
    </xf>
    <xf numFmtId="0" fontId="0" fillId="24" borderId="1" xfId="0" applyFill="1" applyBorder="1"/>
    <xf numFmtId="0" fontId="0" fillId="24" borderId="0" xfId="0" applyFill="1"/>
    <xf numFmtId="0" fontId="3" fillId="25" borderId="1" xfId="0" applyFont="1" applyFill="1" applyBorder="1"/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0" fillId="25" borderId="0" xfId="0" applyFill="1"/>
    <xf numFmtId="0" fontId="3" fillId="26" borderId="1" xfId="0" applyFont="1" applyFill="1" applyBorder="1"/>
    <xf numFmtId="0" fontId="0" fillId="26" borderId="1" xfId="0" applyFill="1" applyBorder="1" applyAlignment="1">
      <alignment horizontal="center"/>
    </xf>
    <xf numFmtId="0" fontId="0" fillId="26" borderId="1" xfId="0" applyFill="1" applyBorder="1"/>
    <xf numFmtId="0" fontId="0" fillId="26" borderId="0" xfId="0" applyFill="1"/>
    <xf numFmtId="0" fontId="3" fillId="27" borderId="1" xfId="0" applyFont="1" applyFill="1" applyBorder="1"/>
    <xf numFmtId="0" fontId="0" fillId="27" borderId="1" xfId="0" applyFill="1" applyBorder="1" applyAlignment="1">
      <alignment horizontal="center"/>
    </xf>
    <xf numFmtId="0" fontId="0" fillId="27" borderId="1" xfId="0" applyFill="1" applyBorder="1"/>
    <xf numFmtId="0" fontId="0" fillId="27" borderId="0" xfId="0" applyFill="1"/>
    <xf numFmtId="0" fontId="3" fillId="12" borderId="1" xfId="0" applyFont="1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12" borderId="0" xfId="0" applyFill="1"/>
    <xf numFmtId="0" fontId="3" fillId="12" borderId="1" xfId="0" applyFont="1" applyFill="1" applyBorder="1" applyAlignment="1">
      <alignment horizontal="left"/>
    </xf>
    <xf numFmtId="0" fontId="3" fillId="13" borderId="1" xfId="0" applyFont="1" applyFill="1" applyBorder="1"/>
    <xf numFmtId="0" fontId="0" fillId="13" borderId="1" xfId="0" applyFill="1" applyBorder="1" applyAlignment="1">
      <alignment horizontal="center"/>
    </xf>
    <xf numFmtId="0" fontId="0" fillId="13" borderId="0" xfId="0" applyFill="1"/>
    <xf numFmtId="0" fontId="3" fillId="28" borderId="1" xfId="0" applyFont="1" applyFill="1" applyBorder="1"/>
    <xf numFmtId="0" fontId="0" fillId="28" borderId="1" xfId="0" applyFill="1" applyBorder="1" applyAlignment="1">
      <alignment horizontal="center"/>
    </xf>
    <xf numFmtId="0" fontId="0" fillId="28" borderId="1" xfId="0" applyFill="1" applyBorder="1"/>
    <xf numFmtId="0" fontId="0" fillId="28" borderId="0" xfId="0" applyFill="1"/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D925-4AC8-4B76-8FE7-9D703C635565}">
  <sheetPr filterMode="1"/>
  <dimension ref="A1:AG97"/>
  <sheetViews>
    <sheetView workbookViewId="0">
      <selection activeCell="C51" sqref="C51"/>
    </sheetView>
  </sheetViews>
  <sheetFormatPr baseColWidth="10" defaultRowHeight="14.5" x14ac:dyDescent="0.35"/>
  <cols>
    <col min="2" max="2" width="22.81640625" bestFit="1" customWidth="1"/>
    <col min="3" max="3" width="23.453125" bestFit="1" customWidth="1"/>
    <col min="4" max="4" width="15.81640625" customWidth="1"/>
    <col min="5" max="5" width="7" customWidth="1"/>
    <col min="6" max="6" width="8.54296875" customWidth="1"/>
    <col min="7" max="7" width="13.26953125" bestFit="1" customWidth="1"/>
    <col min="8" max="8" width="7.7265625" style="57" bestFit="1" customWidth="1"/>
    <col min="9" max="9" width="12.81640625" bestFit="1" customWidth="1"/>
    <col min="10" max="10" width="14.453125" bestFit="1" customWidth="1"/>
    <col min="11" max="11" width="12.81640625" bestFit="1" customWidth="1"/>
    <col min="12" max="12" width="13.54296875" bestFit="1" customWidth="1"/>
    <col min="13" max="13" width="9.453125" style="57" customWidth="1"/>
  </cols>
  <sheetData>
    <row r="1" spans="1:33" ht="33.75" customHeight="1" x14ac:dyDescent="0.4">
      <c r="A1" s="1" t="s">
        <v>147</v>
      </c>
      <c r="B1" s="2" t="s">
        <v>149</v>
      </c>
      <c r="C1" s="2" t="s">
        <v>148</v>
      </c>
      <c r="D1" s="60" t="s">
        <v>192</v>
      </c>
      <c r="E1" s="66" t="s">
        <v>200</v>
      </c>
      <c r="F1" s="62" t="s">
        <v>195</v>
      </c>
      <c r="G1" s="2" t="s">
        <v>196</v>
      </c>
      <c r="H1" s="1" t="s">
        <v>194</v>
      </c>
      <c r="I1" s="66" t="s">
        <v>224</v>
      </c>
      <c r="J1" s="1" t="s">
        <v>193</v>
      </c>
      <c r="K1" s="9" t="s">
        <v>165</v>
      </c>
      <c r="L1" s="1" t="s">
        <v>164</v>
      </c>
      <c r="M1" s="56" t="s">
        <v>186</v>
      </c>
      <c r="N1" s="33" t="s">
        <v>167</v>
      </c>
      <c r="O1" s="34" t="s">
        <v>168</v>
      </c>
      <c r="P1" s="35" t="s">
        <v>169</v>
      </c>
      <c r="Q1" s="33" t="s">
        <v>170</v>
      </c>
      <c r="R1" s="34" t="s">
        <v>171</v>
      </c>
      <c r="S1" s="36" t="s">
        <v>172</v>
      </c>
      <c r="T1" s="33" t="s">
        <v>173</v>
      </c>
      <c r="U1" s="34" t="s">
        <v>174</v>
      </c>
      <c r="V1" s="36" t="s">
        <v>175</v>
      </c>
      <c r="W1" s="33" t="s">
        <v>176</v>
      </c>
      <c r="X1" s="34" t="s">
        <v>174</v>
      </c>
      <c r="Y1" s="36" t="s">
        <v>177</v>
      </c>
      <c r="Z1" s="33" t="s">
        <v>178</v>
      </c>
      <c r="AA1" s="34" t="s">
        <v>179</v>
      </c>
      <c r="AB1" s="36" t="s">
        <v>180</v>
      </c>
      <c r="AC1" s="33" t="s">
        <v>181</v>
      </c>
      <c r="AD1" s="34" t="s">
        <v>182</v>
      </c>
      <c r="AE1" s="37" t="s">
        <v>183</v>
      </c>
      <c r="AF1" s="38" t="s">
        <v>184</v>
      </c>
      <c r="AG1" s="39" t="s">
        <v>185</v>
      </c>
    </row>
    <row r="2" spans="1:33" ht="16" hidden="1" x14ac:dyDescent="0.4">
      <c r="A2" s="3">
        <v>1</v>
      </c>
      <c r="B2" s="6" t="s">
        <v>201</v>
      </c>
      <c r="C2" s="6" t="s">
        <v>201</v>
      </c>
      <c r="D2" s="59">
        <v>32491</v>
      </c>
      <c r="E2" s="67">
        <f ca="1">DATEDIF(D2,TODAY(),"Y")</f>
        <v>37</v>
      </c>
      <c r="F2" s="63" t="s">
        <v>205</v>
      </c>
      <c r="G2" s="6" t="s">
        <v>204</v>
      </c>
      <c r="H2" s="29" t="s">
        <v>202</v>
      </c>
      <c r="I2" s="13" t="s">
        <v>161</v>
      </c>
      <c r="J2" s="41"/>
      <c r="K2" s="14">
        <v>59</v>
      </c>
      <c r="L2" s="10" t="s">
        <v>150</v>
      </c>
      <c r="M2" s="57" t="s">
        <v>206</v>
      </c>
    </row>
    <row r="3" spans="1:33" ht="16" x14ac:dyDescent="0.4">
      <c r="A3" s="3">
        <v>4</v>
      </c>
      <c r="B3" s="6" t="s">
        <v>2</v>
      </c>
      <c r="C3" s="8" t="s">
        <v>3</v>
      </c>
      <c r="D3" s="59">
        <v>40455</v>
      </c>
      <c r="E3" s="67">
        <f ca="1">DATEDIF(D3,TODAY(),"Y")</f>
        <v>15</v>
      </c>
      <c r="F3" s="63"/>
      <c r="G3" s="6"/>
      <c r="H3" s="29" t="s">
        <v>203</v>
      </c>
      <c r="I3" s="13" t="s">
        <v>152</v>
      </c>
      <c r="J3" s="41"/>
      <c r="K3" s="14">
        <v>60</v>
      </c>
      <c r="L3" s="10" t="s">
        <v>150</v>
      </c>
      <c r="M3" s="57" t="s">
        <v>207</v>
      </c>
    </row>
    <row r="4" spans="1:33" ht="16" hidden="1" x14ac:dyDescent="0.4">
      <c r="A4" s="3">
        <v>3</v>
      </c>
      <c r="B4" s="6" t="s">
        <v>15</v>
      </c>
      <c r="C4" s="8" t="s">
        <v>15</v>
      </c>
      <c r="D4" s="68">
        <v>28120</v>
      </c>
      <c r="E4" s="67">
        <f t="shared" ref="E4:E67" ca="1" si="0">DATEDIF(D4,TODAY(),"Y")</f>
        <v>49</v>
      </c>
      <c r="F4" s="63"/>
      <c r="G4" s="6"/>
      <c r="H4" s="29"/>
      <c r="I4" s="13" t="s">
        <v>152</v>
      </c>
      <c r="J4" s="41"/>
      <c r="K4" s="12">
        <v>40</v>
      </c>
      <c r="L4" s="10" t="s">
        <v>150</v>
      </c>
      <c r="M4" s="57" t="s">
        <v>208</v>
      </c>
    </row>
    <row r="5" spans="1:33" ht="16" hidden="1" x14ac:dyDescent="0.4">
      <c r="A5" s="58">
        <v>6</v>
      </c>
      <c r="B5" s="6" t="s">
        <v>0</v>
      </c>
      <c r="C5" s="8" t="s">
        <v>1</v>
      </c>
      <c r="D5" s="68">
        <v>42175</v>
      </c>
      <c r="E5" s="67">
        <f t="shared" ca="1" si="0"/>
        <v>10</v>
      </c>
      <c r="F5" s="63"/>
      <c r="G5" s="6"/>
      <c r="H5" s="29"/>
      <c r="I5" s="11" t="s">
        <v>151</v>
      </c>
      <c r="J5" s="41"/>
      <c r="K5" s="12">
        <v>45</v>
      </c>
      <c r="L5" s="10" t="s">
        <v>150</v>
      </c>
      <c r="M5" s="55" t="s">
        <v>209</v>
      </c>
    </row>
    <row r="6" spans="1:33" ht="16" x14ac:dyDescent="0.4">
      <c r="A6" s="3">
        <v>2</v>
      </c>
      <c r="B6" s="6" t="s">
        <v>4</v>
      </c>
      <c r="C6" s="8" t="s">
        <v>5</v>
      </c>
      <c r="D6" s="68">
        <v>40032</v>
      </c>
      <c r="E6" s="67">
        <f t="shared" ca="1" si="0"/>
        <v>16</v>
      </c>
      <c r="F6" s="63"/>
      <c r="G6" s="6"/>
      <c r="H6" s="29"/>
      <c r="I6" s="15" t="s">
        <v>153</v>
      </c>
      <c r="J6" s="41"/>
      <c r="K6" s="14">
        <v>60</v>
      </c>
      <c r="L6" s="10" t="s">
        <v>150</v>
      </c>
      <c r="M6" s="57" t="s">
        <v>210</v>
      </c>
    </row>
    <row r="7" spans="1:33" ht="16" x14ac:dyDescent="0.4">
      <c r="A7" s="3">
        <v>11</v>
      </c>
      <c r="B7" s="6" t="s">
        <v>6</v>
      </c>
      <c r="C7" s="8" t="s">
        <v>6</v>
      </c>
      <c r="D7" s="68">
        <v>41492</v>
      </c>
      <c r="E7" s="67">
        <f t="shared" ca="1" si="0"/>
        <v>12</v>
      </c>
      <c r="F7" s="63"/>
      <c r="G7" s="6"/>
      <c r="H7" s="29"/>
      <c r="I7" s="15" t="s">
        <v>153</v>
      </c>
      <c r="J7" s="41"/>
      <c r="K7" s="14">
        <v>60</v>
      </c>
      <c r="L7" s="10" t="s">
        <v>150</v>
      </c>
      <c r="M7" s="57" t="s">
        <v>210</v>
      </c>
    </row>
    <row r="8" spans="1:33" ht="16" hidden="1" x14ac:dyDescent="0.4">
      <c r="A8" s="3">
        <v>14</v>
      </c>
      <c r="B8" s="6" t="s">
        <v>7</v>
      </c>
      <c r="C8" s="8" t="s">
        <v>8</v>
      </c>
      <c r="D8" s="70">
        <v>40571</v>
      </c>
      <c r="E8" s="67">
        <f t="shared" ca="1" si="0"/>
        <v>15</v>
      </c>
      <c r="F8" s="63"/>
      <c r="G8" s="6"/>
      <c r="H8" s="29"/>
      <c r="I8" s="15" t="s">
        <v>154</v>
      </c>
      <c r="J8" s="41"/>
      <c r="K8" s="12">
        <v>50</v>
      </c>
      <c r="L8" s="10" t="s">
        <v>150</v>
      </c>
      <c r="M8" s="57" t="s">
        <v>211</v>
      </c>
    </row>
    <row r="9" spans="1:33" ht="16" hidden="1" x14ac:dyDescent="0.4">
      <c r="A9" s="3">
        <v>15</v>
      </c>
      <c r="B9" s="6" t="s">
        <v>7</v>
      </c>
      <c r="C9" s="8" t="s">
        <v>9</v>
      </c>
      <c r="D9" s="59">
        <v>41853</v>
      </c>
      <c r="E9" s="67">
        <f t="shared" ca="1" si="0"/>
        <v>11</v>
      </c>
      <c r="F9" s="63"/>
      <c r="G9" s="6"/>
      <c r="H9" s="29"/>
      <c r="I9" s="15" t="s">
        <v>154</v>
      </c>
      <c r="J9" s="41"/>
      <c r="K9" s="12">
        <v>50</v>
      </c>
      <c r="L9" s="10" t="s">
        <v>150</v>
      </c>
      <c r="M9" s="57" t="s">
        <v>211</v>
      </c>
    </row>
    <row r="10" spans="1:33" ht="16" hidden="1" x14ac:dyDescent="0.4">
      <c r="A10" s="3">
        <v>73</v>
      </c>
      <c r="B10" s="6" t="s">
        <v>7</v>
      </c>
      <c r="C10" s="8" t="s">
        <v>7</v>
      </c>
      <c r="D10" s="68">
        <v>26866</v>
      </c>
      <c r="E10" s="67">
        <f t="shared" ca="1" si="0"/>
        <v>52</v>
      </c>
      <c r="F10" s="63"/>
      <c r="G10" s="6"/>
      <c r="H10" s="29"/>
      <c r="I10" s="15" t="s">
        <v>155</v>
      </c>
      <c r="J10" s="41"/>
      <c r="K10" s="12">
        <v>30</v>
      </c>
      <c r="L10" s="10" t="s">
        <v>150</v>
      </c>
      <c r="M10" s="57" t="s">
        <v>211</v>
      </c>
    </row>
    <row r="11" spans="1:33" ht="16" hidden="1" x14ac:dyDescent="0.4">
      <c r="A11" s="3">
        <v>12</v>
      </c>
      <c r="B11" s="6" t="s">
        <v>10</v>
      </c>
      <c r="C11" s="8" t="s">
        <v>10</v>
      </c>
      <c r="D11" s="69">
        <v>42649</v>
      </c>
      <c r="E11" s="67">
        <f t="shared" ca="1" si="0"/>
        <v>9</v>
      </c>
      <c r="F11" s="63"/>
      <c r="G11" s="6"/>
      <c r="H11" s="29"/>
      <c r="I11" s="11" t="s">
        <v>151</v>
      </c>
      <c r="J11" s="41"/>
      <c r="K11" s="16">
        <v>45</v>
      </c>
      <c r="L11" s="10" t="s">
        <v>150</v>
      </c>
      <c r="M11" s="57" t="s">
        <v>211</v>
      </c>
    </row>
    <row r="12" spans="1:33" ht="16" x14ac:dyDescent="0.4">
      <c r="A12" s="3">
        <v>18</v>
      </c>
      <c r="B12" s="6" t="s">
        <v>11</v>
      </c>
      <c r="C12" s="8" t="s">
        <v>12</v>
      </c>
      <c r="D12" s="70">
        <v>41101</v>
      </c>
      <c r="E12" s="67">
        <f t="shared" ca="1" si="0"/>
        <v>13</v>
      </c>
      <c r="F12" s="63"/>
      <c r="G12" s="6"/>
      <c r="H12" s="29"/>
      <c r="I12" s="15" t="s">
        <v>156</v>
      </c>
      <c r="J12" s="41"/>
      <c r="K12" s="14">
        <v>60</v>
      </c>
      <c r="L12" s="10" t="s">
        <v>150</v>
      </c>
      <c r="M12" s="57" t="s">
        <v>211</v>
      </c>
    </row>
    <row r="13" spans="1:33" ht="16" x14ac:dyDescent="0.4">
      <c r="A13" s="3">
        <v>13</v>
      </c>
      <c r="B13" s="6" t="s">
        <v>13</v>
      </c>
      <c r="C13" s="8" t="s">
        <v>14</v>
      </c>
      <c r="D13" s="69">
        <v>42514</v>
      </c>
      <c r="E13" s="67">
        <f t="shared" ca="1" si="0"/>
        <v>9</v>
      </c>
      <c r="F13" s="63"/>
      <c r="G13" s="6"/>
      <c r="H13" s="29"/>
      <c r="I13" s="15" t="s">
        <v>156</v>
      </c>
      <c r="J13" s="41"/>
      <c r="K13" s="14">
        <v>60</v>
      </c>
      <c r="L13" s="10" t="s">
        <v>150</v>
      </c>
      <c r="M13" s="57" t="s">
        <v>212</v>
      </c>
    </row>
    <row r="14" spans="1:33" ht="16" x14ac:dyDescent="0.4">
      <c r="A14" s="3">
        <v>20</v>
      </c>
      <c r="B14" s="6" t="s">
        <v>18</v>
      </c>
      <c r="C14" s="61" t="s">
        <v>19</v>
      </c>
      <c r="D14" s="70">
        <v>40445</v>
      </c>
      <c r="E14" s="67">
        <f t="shared" ca="1" si="0"/>
        <v>15</v>
      </c>
      <c r="F14" s="64"/>
      <c r="G14" s="7"/>
      <c r="H14" s="29"/>
      <c r="I14" s="13" t="s">
        <v>152</v>
      </c>
      <c r="J14" s="41"/>
      <c r="K14" s="14">
        <v>60</v>
      </c>
      <c r="L14" s="10" t="s">
        <v>150</v>
      </c>
      <c r="M14" s="57" t="s">
        <v>212</v>
      </c>
    </row>
    <row r="15" spans="1:33" ht="16" hidden="1" x14ac:dyDescent="0.4">
      <c r="A15" s="3">
        <v>37</v>
      </c>
      <c r="B15" s="6" t="s">
        <v>15</v>
      </c>
      <c r="C15" s="8" t="s">
        <v>16</v>
      </c>
      <c r="D15" s="59">
        <v>43438</v>
      </c>
      <c r="E15" s="67">
        <f t="shared" ca="1" si="0"/>
        <v>7</v>
      </c>
      <c r="F15" s="63"/>
      <c r="G15" s="6"/>
      <c r="H15" s="29"/>
      <c r="I15" s="15" t="s">
        <v>157</v>
      </c>
      <c r="J15" s="41"/>
      <c r="K15" s="12">
        <v>40</v>
      </c>
      <c r="L15" s="10" t="s">
        <v>150</v>
      </c>
      <c r="M15" s="57" t="s">
        <v>213</v>
      </c>
    </row>
    <row r="16" spans="1:33" ht="16" hidden="1" x14ac:dyDescent="0.4">
      <c r="A16" s="3">
        <v>38</v>
      </c>
      <c r="B16" s="6" t="s">
        <v>15</v>
      </c>
      <c r="C16" s="8" t="s">
        <v>17</v>
      </c>
      <c r="D16" s="59">
        <v>28426</v>
      </c>
      <c r="E16" s="67">
        <f t="shared" ca="1" si="0"/>
        <v>48</v>
      </c>
      <c r="F16" s="63"/>
      <c r="G16" s="6"/>
      <c r="H16" s="29"/>
      <c r="I16" s="15" t="s">
        <v>158</v>
      </c>
      <c r="J16" s="41"/>
      <c r="K16" s="12">
        <v>30</v>
      </c>
      <c r="L16" s="10" t="s">
        <v>150</v>
      </c>
      <c r="M16" s="57" t="s">
        <v>213</v>
      </c>
    </row>
    <row r="17" spans="1:25" ht="16" x14ac:dyDescent="0.4">
      <c r="A17" s="3">
        <v>22</v>
      </c>
      <c r="B17" s="6" t="s">
        <v>20</v>
      </c>
      <c r="C17" s="8" t="s">
        <v>20</v>
      </c>
      <c r="D17" s="6"/>
      <c r="E17" s="67">
        <f t="shared" ca="1" si="0"/>
        <v>126</v>
      </c>
      <c r="F17" s="63"/>
      <c r="G17" s="6"/>
      <c r="H17" s="29"/>
      <c r="I17" s="17" t="s">
        <v>153</v>
      </c>
      <c r="J17" s="41"/>
      <c r="K17" s="14">
        <v>60</v>
      </c>
      <c r="L17" s="10" t="s">
        <v>150</v>
      </c>
      <c r="M17" s="57" t="s">
        <v>213</v>
      </c>
    </row>
    <row r="18" spans="1:25" ht="16" x14ac:dyDescent="0.4">
      <c r="A18" s="3">
        <v>23</v>
      </c>
      <c r="B18" s="6" t="s">
        <v>21</v>
      </c>
      <c r="C18" s="8" t="s">
        <v>22</v>
      </c>
      <c r="D18" s="70">
        <v>27900</v>
      </c>
      <c r="E18" s="67">
        <f t="shared" ca="1" si="0"/>
        <v>49</v>
      </c>
      <c r="F18" s="63"/>
      <c r="G18" s="6"/>
      <c r="H18" s="29"/>
      <c r="I18" s="15" t="s">
        <v>153</v>
      </c>
      <c r="J18" s="41"/>
      <c r="K18" s="18">
        <v>60</v>
      </c>
      <c r="L18" s="10" t="s">
        <v>150</v>
      </c>
      <c r="M18" s="57" t="s">
        <v>213</v>
      </c>
    </row>
    <row r="19" spans="1:25" ht="16" hidden="1" x14ac:dyDescent="0.4">
      <c r="A19" s="3">
        <v>24</v>
      </c>
      <c r="B19" s="6" t="s">
        <v>21</v>
      </c>
      <c r="C19" s="8" t="s">
        <v>22</v>
      </c>
      <c r="D19" s="69">
        <v>43405</v>
      </c>
      <c r="E19" s="67">
        <f t="shared" ca="1" si="0"/>
        <v>7</v>
      </c>
      <c r="F19" s="63"/>
      <c r="G19" s="6"/>
      <c r="H19" s="29"/>
      <c r="I19" s="17" t="s">
        <v>158</v>
      </c>
      <c r="J19" s="41"/>
      <c r="K19" s="12">
        <v>15</v>
      </c>
      <c r="L19" s="10" t="s">
        <v>150</v>
      </c>
      <c r="M19" s="57" t="s">
        <v>213</v>
      </c>
    </row>
    <row r="20" spans="1:25" ht="16" hidden="1" x14ac:dyDescent="0.4">
      <c r="A20" s="3">
        <v>25</v>
      </c>
      <c r="B20" s="6" t="s">
        <v>21</v>
      </c>
      <c r="C20" s="8" t="s">
        <v>23</v>
      </c>
      <c r="D20" s="70">
        <v>31126</v>
      </c>
      <c r="E20" s="67">
        <f t="shared" ca="1" si="0"/>
        <v>41</v>
      </c>
      <c r="F20" s="63"/>
      <c r="G20" s="6"/>
      <c r="H20" s="29"/>
      <c r="I20" s="17" t="s">
        <v>158</v>
      </c>
      <c r="J20" s="41"/>
      <c r="K20" s="12">
        <v>15</v>
      </c>
      <c r="L20" s="10" t="s">
        <v>150</v>
      </c>
      <c r="M20" s="57" t="s">
        <v>213</v>
      </c>
    </row>
    <row r="21" spans="1:25" ht="16" hidden="1" x14ac:dyDescent="0.4">
      <c r="A21" s="3">
        <v>26</v>
      </c>
      <c r="B21" s="6" t="s">
        <v>24</v>
      </c>
      <c r="C21" s="8" t="s">
        <v>24</v>
      </c>
      <c r="D21" s="70">
        <v>32174</v>
      </c>
      <c r="E21" s="67">
        <f t="shared" ca="1" si="0"/>
        <v>38</v>
      </c>
      <c r="F21" s="63"/>
      <c r="G21" s="6"/>
      <c r="H21" s="29"/>
      <c r="I21" s="15" t="s">
        <v>158</v>
      </c>
      <c r="J21" s="41"/>
      <c r="K21" s="12">
        <v>30</v>
      </c>
      <c r="L21" s="10" t="s">
        <v>150</v>
      </c>
      <c r="M21" s="57" t="s">
        <v>213</v>
      </c>
    </row>
    <row r="22" spans="1:25" ht="16" x14ac:dyDescent="0.4">
      <c r="A22" s="3">
        <v>36</v>
      </c>
      <c r="B22" s="6" t="s">
        <v>25</v>
      </c>
      <c r="C22" s="8" t="s">
        <v>26</v>
      </c>
      <c r="D22" s="59">
        <v>43019</v>
      </c>
      <c r="E22" s="67">
        <f t="shared" ca="1" si="0"/>
        <v>8</v>
      </c>
      <c r="F22" s="63" t="s">
        <v>205</v>
      </c>
      <c r="G22" s="6" t="s">
        <v>225</v>
      </c>
      <c r="H22" s="29" t="s">
        <v>202</v>
      </c>
      <c r="I22" s="114" t="s">
        <v>223</v>
      </c>
      <c r="J22" s="115" t="s">
        <v>222</v>
      </c>
      <c r="K22" s="14">
        <v>60</v>
      </c>
      <c r="L22" s="10" t="s">
        <v>150</v>
      </c>
      <c r="M22" s="57" t="s">
        <v>213</v>
      </c>
      <c r="N22" s="42" t="s">
        <v>191</v>
      </c>
      <c r="O22" s="43" t="s">
        <v>178</v>
      </c>
      <c r="P22" s="44" t="s">
        <v>179</v>
      </c>
      <c r="Q22" s="45" t="s">
        <v>181</v>
      </c>
      <c r="R22" s="46" t="s">
        <v>183</v>
      </c>
      <c r="S22" s="47"/>
      <c r="T22" s="48"/>
      <c r="U22" s="49"/>
      <c r="V22" s="50"/>
      <c r="W22" s="50"/>
      <c r="X22" s="50"/>
      <c r="Y22" s="51"/>
    </row>
    <row r="23" spans="1:25" ht="16" hidden="1" x14ac:dyDescent="0.4">
      <c r="A23" s="3">
        <v>19</v>
      </c>
      <c r="B23" s="6" t="s">
        <v>25</v>
      </c>
      <c r="C23" s="8" t="s">
        <v>27</v>
      </c>
      <c r="D23" s="70">
        <v>28387</v>
      </c>
      <c r="E23" s="67">
        <f t="shared" ca="1" si="0"/>
        <v>48</v>
      </c>
      <c r="F23" s="63"/>
      <c r="G23" s="6"/>
      <c r="H23" s="29"/>
      <c r="I23" s="15" t="s">
        <v>156</v>
      </c>
      <c r="J23" s="41"/>
      <c r="K23" s="12">
        <v>20</v>
      </c>
      <c r="L23" s="10" t="s">
        <v>150</v>
      </c>
      <c r="M23" s="57" t="s">
        <v>213</v>
      </c>
    </row>
    <row r="24" spans="1:25" ht="16" x14ac:dyDescent="0.4">
      <c r="A24" s="3">
        <v>27</v>
      </c>
      <c r="B24" s="6" t="s">
        <v>28</v>
      </c>
      <c r="C24" s="8" t="s">
        <v>29</v>
      </c>
      <c r="D24" s="69">
        <v>42481</v>
      </c>
      <c r="E24" s="67">
        <f t="shared" ca="1" si="0"/>
        <v>10</v>
      </c>
      <c r="F24" s="63"/>
      <c r="G24" s="6"/>
      <c r="H24" s="29"/>
      <c r="I24" s="15" t="s">
        <v>153</v>
      </c>
      <c r="J24" s="41"/>
      <c r="K24" s="14">
        <v>60</v>
      </c>
      <c r="L24" s="10" t="s">
        <v>150</v>
      </c>
      <c r="M24" s="57" t="s">
        <v>213</v>
      </c>
    </row>
    <row r="25" spans="1:25" ht="16" hidden="1" x14ac:dyDescent="0.4">
      <c r="A25" s="3">
        <v>69</v>
      </c>
      <c r="B25" s="6" t="s">
        <v>30</v>
      </c>
      <c r="C25" s="8" t="s">
        <v>31</v>
      </c>
      <c r="D25" s="59">
        <v>43115</v>
      </c>
      <c r="E25" s="67">
        <f t="shared" ca="1" si="0"/>
        <v>8</v>
      </c>
      <c r="F25" s="63"/>
      <c r="G25" s="6"/>
      <c r="H25" s="29"/>
      <c r="I25" s="13" t="s">
        <v>152</v>
      </c>
      <c r="J25" s="41"/>
      <c r="K25" s="14">
        <v>50</v>
      </c>
      <c r="L25" s="10" t="s">
        <v>150</v>
      </c>
      <c r="M25" s="57" t="s">
        <v>213</v>
      </c>
    </row>
    <row r="26" spans="1:25" ht="16" hidden="1" x14ac:dyDescent="0.4">
      <c r="A26" s="3">
        <v>67</v>
      </c>
      <c r="B26" s="6" t="s">
        <v>30</v>
      </c>
      <c r="C26" s="8" t="s">
        <v>32</v>
      </c>
      <c r="D26" s="59">
        <v>40343</v>
      </c>
      <c r="E26" s="67">
        <f t="shared" ca="1" si="0"/>
        <v>15</v>
      </c>
      <c r="F26" s="63"/>
      <c r="G26" s="6"/>
      <c r="H26" s="29"/>
      <c r="I26" s="15" t="s">
        <v>153</v>
      </c>
      <c r="J26" s="41"/>
      <c r="K26" s="14">
        <v>50</v>
      </c>
      <c r="L26" s="10" t="s">
        <v>150</v>
      </c>
      <c r="M26" s="57" t="s">
        <v>213</v>
      </c>
    </row>
    <row r="27" spans="1:25" ht="16" x14ac:dyDescent="0.4">
      <c r="A27" s="3">
        <v>88</v>
      </c>
      <c r="B27" s="6" t="s">
        <v>33</v>
      </c>
      <c r="C27" s="8" t="s">
        <v>34</v>
      </c>
      <c r="D27" s="59">
        <v>43559</v>
      </c>
      <c r="E27" s="67">
        <f t="shared" ca="1" si="0"/>
        <v>7</v>
      </c>
      <c r="F27" s="63"/>
      <c r="G27" s="6"/>
      <c r="H27" s="29"/>
      <c r="I27" s="15" t="s">
        <v>155</v>
      </c>
      <c r="J27" s="41"/>
      <c r="K27" s="14">
        <v>60</v>
      </c>
      <c r="L27" s="10" t="s">
        <v>150</v>
      </c>
      <c r="M27" s="57" t="s">
        <v>189</v>
      </c>
    </row>
    <row r="28" spans="1:25" ht="16" x14ac:dyDescent="0.4">
      <c r="A28" s="3">
        <v>40</v>
      </c>
      <c r="B28" s="6" t="s">
        <v>35</v>
      </c>
      <c r="C28" s="8" t="s">
        <v>36</v>
      </c>
      <c r="D28" s="59">
        <v>42353</v>
      </c>
      <c r="E28" s="67">
        <f t="shared" ca="1" si="0"/>
        <v>10</v>
      </c>
      <c r="F28" s="63"/>
      <c r="G28" s="6"/>
      <c r="H28" s="29"/>
      <c r="I28" s="11" t="s">
        <v>151</v>
      </c>
      <c r="J28" s="41"/>
      <c r="K28" s="14">
        <v>60</v>
      </c>
      <c r="L28" s="10" t="s">
        <v>150</v>
      </c>
      <c r="M28" s="57" t="s">
        <v>188</v>
      </c>
    </row>
    <row r="29" spans="1:25" ht="16" x14ac:dyDescent="0.4">
      <c r="A29" s="3">
        <v>65</v>
      </c>
      <c r="B29" s="6" t="s">
        <v>37</v>
      </c>
      <c r="C29" s="8" t="s">
        <v>38</v>
      </c>
      <c r="D29" s="59">
        <v>43218</v>
      </c>
      <c r="E29" s="67">
        <f t="shared" ca="1" si="0"/>
        <v>7</v>
      </c>
      <c r="F29" s="63"/>
      <c r="G29" s="6"/>
      <c r="H29" s="29"/>
      <c r="I29" s="11" t="s">
        <v>151</v>
      </c>
      <c r="J29" s="41"/>
      <c r="K29" s="14">
        <v>60</v>
      </c>
      <c r="L29" s="10" t="s">
        <v>150</v>
      </c>
      <c r="M29" s="57" t="s">
        <v>190</v>
      </c>
    </row>
    <row r="30" spans="1:25" ht="16" x14ac:dyDescent="0.4">
      <c r="A30" s="3">
        <v>8</v>
      </c>
      <c r="B30" s="6" t="s">
        <v>39</v>
      </c>
      <c r="C30" s="8" t="s">
        <v>40</v>
      </c>
      <c r="D30" s="59">
        <v>44096</v>
      </c>
      <c r="E30" s="67">
        <f t="shared" ca="1" si="0"/>
        <v>5</v>
      </c>
      <c r="F30" s="63"/>
      <c r="G30" s="6"/>
      <c r="H30" s="29"/>
      <c r="I30" s="11" t="s">
        <v>159</v>
      </c>
      <c r="J30" s="41"/>
      <c r="K30" s="14">
        <v>60</v>
      </c>
      <c r="L30" s="10" t="s">
        <v>150</v>
      </c>
      <c r="M30" s="57" t="s">
        <v>188</v>
      </c>
    </row>
    <row r="31" spans="1:25" ht="16" x14ac:dyDescent="0.4">
      <c r="A31" s="3">
        <v>31</v>
      </c>
      <c r="B31" s="6" t="s">
        <v>41</v>
      </c>
      <c r="C31" s="8" t="s">
        <v>42</v>
      </c>
      <c r="D31" s="59">
        <v>43159</v>
      </c>
      <c r="E31" s="67">
        <f t="shared" ca="1" si="0"/>
        <v>8</v>
      </c>
      <c r="F31" s="63"/>
      <c r="G31" s="6"/>
      <c r="H31" s="29"/>
      <c r="I31" s="11" t="s">
        <v>159</v>
      </c>
      <c r="J31" s="41"/>
      <c r="K31" s="14">
        <v>60</v>
      </c>
      <c r="L31" s="10" t="s">
        <v>150</v>
      </c>
      <c r="M31" s="57" t="s">
        <v>189</v>
      </c>
    </row>
    <row r="32" spans="1:25" ht="16" hidden="1" x14ac:dyDescent="0.4">
      <c r="A32" s="3">
        <v>30</v>
      </c>
      <c r="B32" s="6" t="s">
        <v>41</v>
      </c>
      <c r="C32" s="8" t="s">
        <v>41</v>
      </c>
      <c r="D32" s="59">
        <v>31608</v>
      </c>
      <c r="E32" s="67">
        <f t="shared" ca="1" si="0"/>
        <v>39</v>
      </c>
      <c r="F32" s="63"/>
      <c r="G32" s="6"/>
      <c r="H32" s="29"/>
      <c r="I32" s="15" t="s">
        <v>156</v>
      </c>
      <c r="J32" s="41"/>
      <c r="K32" s="12">
        <v>20</v>
      </c>
      <c r="L32" s="10" t="s">
        <v>150</v>
      </c>
      <c r="M32" s="57" t="s">
        <v>190</v>
      </c>
    </row>
    <row r="33" spans="1:13" ht="16" x14ac:dyDescent="0.4">
      <c r="A33" s="3">
        <v>84</v>
      </c>
      <c r="B33" s="6" t="s">
        <v>43</v>
      </c>
      <c r="C33" s="8" t="s">
        <v>44</v>
      </c>
      <c r="D33" s="59">
        <v>41871</v>
      </c>
      <c r="E33" s="67">
        <f t="shared" ca="1" si="0"/>
        <v>11</v>
      </c>
      <c r="F33" s="63"/>
      <c r="G33" s="6"/>
      <c r="H33" s="29"/>
      <c r="I33" s="11" t="s">
        <v>151</v>
      </c>
      <c r="J33" s="41"/>
      <c r="K33" s="14">
        <v>60</v>
      </c>
      <c r="L33" s="10" t="s">
        <v>150</v>
      </c>
      <c r="M33" s="57" t="s">
        <v>190</v>
      </c>
    </row>
    <row r="34" spans="1:13" ht="16" x14ac:dyDescent="0.4">
      <c r="A34" s="4">
        <v>74</v>
      </c>
      <c r="B34" s="6" t="s">
        <v>45</v>
      </c>
      <c r="C34" s="8" t="s">
        <v>46</v>
      </c>
      <c r="D34" s="59">
        <v>43980</v>
      </c>
      <c r="E34" s="67">
        <f t="shared" ca="1" si="0"/>
        <v>5</v>
      </c>
      <c r="F34" s="63"/>
      <c r="G34" s="6"/>
      <c r="H34" s="29"/>
      <c r="I34" s="11" t="s">
        <v>160</v>
      </c>
      <c r="J34" s="41"/>
      <c r="K34" s="14">
        <v>60</v>
      </c>
      <c r="L34" s="10" t="s">
        <v>150</v>
      </c>
      <c r="M34" s="57" t="s">
        <v>187</v>
      </c>
    </row>
    <row r="35" spans="1:13" ht="16" x14ac:dyDescent="0.4">
      <c r="A35" s="4">
        <v>35</v>
      </c>
      <c r="B35" s="6" t="s">
        <v>47</v>
      </c>
      <c r="C35" s="8" t="s">
        <v>48</v>
      </c>
      <c r="D35" s="59">
        <v>41358</v>
      </c>
      <c r="E35" s="67">
        <f t="shared" ca="1" si="0"/>
        <v>13</v>
      </c>
      <c r="F35" s="63"/>
      <c r="G35" s="6"/>
      <c r="H35" s="29"/>
      <c r="I35" s="19" t="s">
        <v>160</v>
      </c>
      <c r="J35" s="41"/>
      <c r="K35" s="14">
        <v>60</v>
      </c>
      <c r="L35" s="10" t="s">
        <v>150</v>
      </c>
      <c r="M35" s="57" t="s">
        <v>188</v>
      </c>
    </row>
    <row r="36" spans="1:13" ht="16" x14ac:dyDescent="0.4">
      <c r="A36" s="3">
        <v>28</v>
      </c>
      <c r="B36" s="6" t="s">
        <v>49</v>
      </c>
      <c r="C36" s="8" t="s">
        <v>49</v>
      </c>
      <c r="D36" s="59">
        <v>41389</v>
      </c>
      <c r="E36" s="67">
        <f t="shared" ca="1" si="0"/>
        <v>13</v>
      </c>
      <c r="F36" s="63"/>
      <c r="G36" s="6"/>
      <c r="H36" s="29"/>
      <c r="I36" s="17" t="s">
        <v>154</v>
      </c>
      <c r="J36" s="41"/>
      <c r="K36" s="14">
        <v>60</v>
      </c>
      <c r="L36" s="10" t="s">
        <v>150</v>
      </c>
      <c r="M36" s="57" t="s">
        <v>189</v>
      </c>
    </row>
    <row r="37" spans="1:13" ht="16" x14ac:dyDescent="0.4">
      <c r="A37" s="3">
        <v>55</v>
      </c>
      <c r="B37" s="6" t="s">
        <v>50</v>
      </c>
      <c r="C37" s="8" t="s">
        <v>51</v>
      </c>
      <c r="D37" s="59">
        <v>44151</v>
      </c>
      <c r="E37" s="67">
        <f t="shared" ca="1" si="0"/>
        <v>5</v>
      </c>
      <c r="F37" s="63"/>
      <c r="G37" s="6"/>
      <c r="H37" s="29"/>
      <c r="I37" s="20" t="s">
        <v>151</v>
      </c>
      <c r="J37" s="41"/>
      <c r="K37" s="18">
        <v>60</v>
      </c>
      <c r="L37" s="10" t="s">
        <v>150</v>
      </c>
      <c r="M37" s="57" t="s">
        <v>187</v>
      </c>
    </row>
    <row r="38" spans="1:13" ht="16" x14ac:dyDescent="0.4">
      <c r="A38" s="3">
        <v>34</v>
      </c>
      <c r="B38" s="6" t="s">
        <v>52</v>
      </c>
      <c r="C38" s="8" t="s">
        <v>53</v>
      </c>
      <c r="D38" s="59">
        <v>44392</v>
      </c>
      <c r="E38" s="67">
        <f t="shared" ca="1" si="0"/>
        <v>4</v>
      </c>
      <c r="F38" s="63"/>
      <c r="G38" s="6"/>
      <c r="H38" s="29"/>
      <c r="I38" s="20" t="s">
        <v>151</v>
      </c>
      <c r="J38" s="41"/>
      <c r="K38" s="18">
        <v>60</v>
      </c>
      <c r="L38" s="10" t="s">
        <v>150</v>
      </c>
      <c r="M38" s="57" t="s">
        <v>187</v>
      </c>
    </row>
    <row r="39" spans="1:13" ht="16" x14ac:dyDescent="0.4">
      <c r="A39" s="3">
        <v>90</v>
      </c>
      <c r="B39" s="6" t="s">
        <v>54</v>
      </c>
      <c r="C39" s="8" t="s">
        <v>55</v>
      </c>
      <c r="D39" s="59">
        <v>43078</v>
      </c>
      <c r="E39" s="67">
        <f t="shared" ca="1" si="0"/>
        <v>8</v>
      </c>
      <c r="F39" s="63"/>
      <c r="G39" s="6"/>
      <c r="H39" s="29"/>
      <c r="I39" s="20" t="s">
        <v>151</v>
      </c>
      <c r="J39" s="41"/>
      <c r="K39" s="18">
        <v>60</v>
      </c>
      <c r="L39" s="10" t="s">
        <v>150</v>
      </c>
      <c r="M39" s="57" t="s">
        <v>188</v>
      </c>
    </row>
    <row r="40" spans="1:13" ht="16" x14ac:dyDescent="0.4">
      <c r="A40" s="4">
        <v>76</v>
      </c>
      <c r="B40" s="6" t="s">
        <v>56</v>
      </c>
      <c r="C40" s="8" t="s">
        <v>57</v>
      </c>
      <c r="D40" s="59">
        <v>43300</v>
      </c>
      <c r="E40" s="67">
        <f t="shared" ca="1" si="0"/>
        <v>7</v>
      </c>
      <c r="F40" s="63"/>
      <c r="G40" s="6"/>
      <c r="H40" s="29"/>
      <c r="I40" s="20" t="s">
        <v>160</v>
      </c>
      <c r="J40" s="41"/>
      <c r="K40" s="18">
        <v>60</v>
      </c>
      <c r="L40" s="10" t="s">
        <v>150</v>
      </c>
      <c r="M40" s="57" t="s">
        <v>188</v>
      </c>
    </row>
    <row r="41" spans="1:13" ht="16" hidden="1" x14ac:dyDescent="0.4">
      <c r="A41" s="3">
        <v>50</v>
      </c>
      <c r="B41" s="6" t="s">
        <v>58</v>
      </c>
      <c r="C41" s="8" t="s">
        <v>59</v>
      </c>
      <c r="D41" s="59">
        <v>39318</v>
      </c>
      <c r="E41" s="67">
        <f t="shared" ca="1" si="0"/>
        <v>18</v>
      </c>
      <c r="F41" s="63"/>
      <c r="G41" s="6"/>
      <c r="H41" s="29"/>
      <c r="I41" s="20" t="s">
        <v>160</v>
      </c>
      <c r="J41" s="41"/>
      <c r="K41" s="18">
        <v>0</v>
      </c>
      <c r="L41" s="10" t="s">
        <v>150</v>
      </c>
      <c r="M41" s="57" t="s">
        <v>189</v>
      </c>
    </row>
    <row r="42" spans="1:13" ht="16" x14ac:dyDescent="0.4">
      <c r="A42" s="3">
        <v>42</v>
      </c>
      <c r="B42" s="6" t="s">
        <v>60</v>
      </c>
      <c r="C42" s="8" t="s">
        <v>61</v>
      </c>
      <c r="D42" s="6"/>
      <c r="E42" s="67">
        <f t="shared" ca="1" si="0"/>
        <v>126</v>
      </c>
      <c r="F42" s="63"/>
      <c r="G42" s="6"/>
      <c r="H42" s="29"/>
      <c r="I42" s="21" t="s">
        <v>152</v>
      </c>
      <c r="J42" s="41"/>
      <c r="K42" s="18">
        <v>60</v>
      </c>
      <c r="L42" s="10"/>
      <c r="M42" s="57" t="s">
        <v>198</v>
      </c>
    </row>
    <row r="43" spans="1:13" ht="16" x14ac:dyDescent="0.4">
      <c r="A43" s="3">
        <v>83</v>
      </c>
      <c r="B43" s="6" t="s">
        <v>62</v>
      </c>
      <c r="C43" s="8" t="s">
        <v>63</v>
      </c>
      <c r="D43" s="59">
        <v>43445</v>
      </c>
      <c r="E43" s="67">
        <f t="shared" ca="1" si="0"/>
        <v>7</v>
      </c>
      <c r="F43" s="63"/>
      <c r="G43" s="6"/>
      <c r="H43" s="29"/>
      <c r="I43" s="17" t="s">
        <v>156</v>
      </c>
      <c r="J43" s="41"/>
      <c r="K43" s="18">
        <v>60</v>
      </c>
      <c r="L43" s="10" t="s">
        <v>150</v>
      </c>
      <c r="M43" s="57" t="s">
        <v>189</v>
      </c>
    </row>
    <row r="44" spans="1:13" ht="16" x14ac:dyDescent="0.4">
      <c r="A44" s="3">
        <v>39</v>
      </c>
      <c r="B44" s="6" t="s">
        <v>64</v>
      </c>
      <c r="C44" s="8" t="s">
        <v>65</v>
      </c>
      <c r="D44" s="59">
        <v>43438</v>
      </c>
      <c r="E44" s="67">
        <f t="shared" ca="1" si="0"/>
        <v>7</v>
      </c>
      <c r="F44" s="63"/>
      <c r="G44" s="6"/>
      <c r="H44" s="29"/>
      <c r="I44" s="17" t="s">
        <v>156</v>
      </c>
      <c r="J44" s="41"/>
      <c r="K44" s="18">
        <v>60</v>
      </c>
      <c r="L44" s="10" t="s">
        <v>150</v>
      </c>
      <c r="M44" s="57" t="s">
        <v>188</v>
      </c>
    </row>
    <row r="45" spans="1:13" ht="16" x14ac:dyDescent="0.4">
      <c r="A45" s="4">
        <v>45</v>
      </c>
      <c r="B45" s="6" t="s">
        <v>66</v>
      </c>
      <c r="C45" s="8" t="s">
        <v>67</v>
      </c>
      <c r="D45" s="59">
        <v>43431</v>
      </c>
      <c r="E45" s="67">
        <f t="shared" ca="1" si="0"/>
        <v>7</v>
      </c>
      <c r="F45" s="63"/>
      <c r="G45" s="6"/>
      <c r="H45" s="29"/>
      <c r="I45" s="17" t="s">
        <v>157</v>
      </c>
      <c r="J45" s="41"/>
      <c r="K45" s="18">
        <v>60</v>
      </c>
      <c r="L45" s="10" t="s">
        <v>150</v>
      </c>
      <c r="M45" s="57" t="s">
        <v>187</v>
      </c>
    </row>
    <row r="46" spans="1:13" ht="16" x14ac:dyDescent="0.4">
      <c r="A46" s="4">
        <v>46</v>
      </c>
      <c r="B46" s="6" t="s">
        <v>66</v>
      </c>
      <c r="C46" s="8" t="s">
        <v>68</v>
      </c>
      <c r="D46" s="59">
        <v>41221</v>
      </c>
      <c r="E46" s="67">
        <f t="shared" ca="1" si="0"/>
        <v>13</v>
      </c>
      <c r="F46" s="63"/>
      <c r="G46" s="6"/>
      <c r="H46" s="29"/>
      <c r="I46" s="20" t="s">
        <v>161</v>
      </c>
      <c r="J46" s="41"/>
      <c r="K46" s="18">
        <v>60</v>
      </c>
      <c r="L46" s="10" t="s">
        <v>150</v>
      </c>
      <c r="M46" s="57" t="s">
        <v>187</v>
      </c>
    </row>
    <row r="47" spans="1:13" ht="16" x14ac:dyDescent="0.4">
      <c r="A47" s="3">
        <v>44</v>
      </c>
      <c r="B47" s="6" t="s">
        <v>69</v>
      </c>
      <c r="C47" s="8" t="s">
        <v>70</v>
      </c>
      <c r="D47" s="59">
        <v>44816</v>
      </c>
      <c r="E47" s="67">
        <f t="shared" ca="1" si="0"/>
        <v>3</v>
      </c>
      <c r="F47" s="63"/>
      <c r="G47" s="6"/>
      <c r="H47" s="29"/>
      <c r="I47" s="6" t="s">
        <v>154</v>
      </c>
      <c r="J47" s="41"/>
      <c r="K47" s="18">
        <v>60</v>
      </c>
      <c r="L47" s="10" t="s">
        <v>150</v>
      </c>
      <c r="M47" s="57" t="s">
        <v>198</v>
      </c>
    </row>
    <row r="48" spans="1:13" ht="16" x14ac:dyDescent="0.4">
      <c r="A48" s="3">
        <v>51</v>
      </c>
      <c r="B48" s="6" t="s">
        <v>71</v>
      </c>
      <c r="C48" s="8" t="s">
        <v>72</v>
      </c>
      <c r="D48" s="59">
        <v>43519</v>
      </c>
      <c r="E48" s="67">
        <f t="shared" ca="1" si="0"/>
        <v>7</v>
      </c>
      <c r="F48" s="63"/>
      <c r="G48" s="6"/>
      <c r="H48" s="29"/>
      <c r="I48" s="6" t="s">
        <v>154</v>
      </c>
      <c r="J48" s="41"/>
      <c r="K48" s="18">
        <v>60</v>
      </c>
      <c r="L48" s="10" t="s">
        <v>150</v>
      </c>
      <c r="M48" s="57" t="s">
        <v>187</v>
      </c>
    </row>
    <row r="49" spans="1:13" ht="16" x14ac:dyDescent="0.4">
      <c r="A49" s="3">
        <v>43</v>
      </c>
      <c r="B49" s="6" t="s">
        <v>73</v>
      </c>
      <c r="C49" s="8" t="s">
        <v>74</v>
      </c>
      <c r="D49" s="59">
        <v>44442</v>
      </c>
      <c r="E49" s="67">
        <f t="shared" ca="1" si="0"/>
        <v>4</v>
      </c>
      <c r="F49" s="63"/>
      <c r="G49" s="6"/>
      <c r="H49" s="29"/>
      <c r="I49" s="6" t="s">
        <v>154</v>
      </c>
      <c r="J49" s="41"/>
      <c r="K49" s="18">
        <v>60</v>
      </c>
      <c r="L49" s="10" t="s">
        <v>150</v>
      </c>
      <c r="M49" s="57" t="s">
        <v>198</v>
      </c>
    </row>
    <row r="50" spans="1:13" ht="16" x14ac:dyDescent="0.4">
      <c r="A50" s="4">
        <v>41</v>
      </c>
      <c r="B50" s="6" t="s">
        <v>75</v>
      </c>
      <c r="C50" s="8" t="s">
        <v>76</v>
      </c>
      <c r="D50" s="59">
        <v>42188</v>
      </c>
      <c r="E50" s="67">
        <f t="shared" ca="1" si="0"/>
        <v>10</v>
      </c>
      <c r="F50" s="63"/>
      <c r="G50" s="6"/>
      <c r="H50" s="29"/>
      <c r="I50" s="6" t="s">
        <v>154</v>
      </c>
      <c r="J50" s="41"/>
      <c r="K50" s="18">
        <v>60</v>
      </c>
      <c r="L50" s="10" t="s">
        <v>150</v>
      </c>
      <c r="M50" s="57" t="s">
        <v>188</v>
      </c>
    </row>
    <row r="51" spans="1:13" ht="16" x14ac:dyDescent="0.4">
      <c r="A51" s="3">
        <v>58</v>
      </c>
      <c r="B51" s="6" t="s">
        <v>77</v>
      </c>
      <c r="C51" s="8" t="s">
        <v>78</v>
      </c>
      <c r="D51" s="59">
        <v>43539</v>
      </c>
      <c r="E51" s="67">
        <f t="shared" ca="1" si="0"/>
        <v>7</v>
      </c>
      <c r="F51" s="63"/>
      <c r="G51" s="6"/>
      <c r="H51" s="29"/>
      <c r="I51" s="6" t="s">
        <v>154</v>
      </c>
      <c r="J51" s="41"/>
      <c r="K51" s="18">
        <v>60</v>
      </c>
      <c r="L51" s="10" t="s">
        <v>150</v>
      </c>
      <c r="M51" s="57" t="s">
        <v>187</v>
      </c>
    </row>
    <row r="52" spans="1:13" ht="16" x14ac:dyDescent="0.4">
      <c r="A52" s="3">
        <v>71</v>
      </c>
      <c r="B52" s="6" t="s">
        <v>79</v>
      </c>
      <c r="C52" s="8" t="s">
        <v>80</v>
      </c>
      <c r="D52" s="59">
        <v>44684</v>
      </c>
      <c r="E52" s="67">
        <f t="shared" ca="1" si="0"/>
        <v>3</v>
      </c>
      <c r="F52" s="63"/>
      <c r="G52" s="6"/>
      <c r="H52" s="29"/>
      <c r="I52" s="6" t="s">
        <v>154</v>
      </c>
      <c r="J52" s="41"/>
      <c r="K52" s="18">
        <v>60</v>
      </c>
      <c r="L52" s="10" t="s">
        <v>150</v>
      </c>
      <c r="M52" s="57" t="s">
        <v>199</v>
      </c>
    </row>
    <row r="53" spans="1:13" ht="16" x14ac:dyDescent="0.4">
      <c r="A53" s="4">
        <v>77</v>
      </c>
      <c r="B53" s="6" t="s">
        <v>81</v>
      </c>
      <c r="C53" s="8" t="s">
        <v>82</v>
      </c>
      <c r="D53" s="69">
        <v>40794</v>
      </c>
      <c r="E53" s="67">
        <f t="shared" ca="1" si="0"/>
        <v>14</v>
      </c>
      <c r="F53" s="63"/>
      <c r="G53" s="6"/>
      <c r="H53" s="29"/>
      <c r="I53" s="22" t="s">
        <v>155</v>
      </c>
      <c r="J53" s="41"/>
      <c r="K53" s="18">
        <v>60</v>
      </c>
      <c r="L53" s="10" t="s">
        <v>150</v>
      </c>
      <c r="M53" s="57" t="s">
        <v>197</v>
      </c>
    </row>
    <row r="54" spans="1:13" ht="16" x14ac:dyDescent="0.4">
      <c r="A54" s="3">
        <v>81</v>
      </c>
      <c r="B54" s="6" t="s">
        <v>83</v>
      </c>
      <c r="C54" s="8" t="s">
        <v>84</v>
      </c>
      <c r="D54" s="59">
        <v>43880</v>
      </c>
      <c r="E54" s="67">
        <f t="shared" ca="1" si="0"/>
        <v>6</v>
      </c>
      <c r="F54" s="63"/>
      <c r="G54" s="6"/>
      <c r="H54" s="29"/>
      <c r="I54" s="22" t="s">
        <v>155</v>
      </c>
      <c r="J54" s="41"/>
      <c r="K54" s="18">
        <v>60</v>
      </c>
      <c r="L54" s="10" t="s">
        <v>150</v>
      </c>
      <c r="M54" s="57" t="s">
        <v>187</v>
      </c>
    </row>
    <row r="55" spans="1:13" ht="16" x14ac:dyDescent="0.4">
      <c r="A55" s="4">
        <v>63</v>
      </c>
      <c r="B55" s="6" t="s">
        <v>85</v>
      </c>
      <c r="C55" s="8" t="s">
        <v>86</v>
      </c>
      <c r="D55" s="59">
        <v>43600</v>
      </c>
      <c r="E55" s="67">
        <f t="shared" ca="1" si="0"/>
        <v>6</v>
      </c>
      <c r="F55" s="63"/>
      <c r="G55" s="6"/>
      <c r="H55" s="29"/>
      <c r="I55" s="22" t="s">
        <v>162</v>
      </c>
      <c r="J55" s="41"/>
      <c r="K55" s="18">
        <v>60</v>
      </c>
      <c r="L55" s="10" t="s">
        <v>150</v>
      </c>
      <c r="M55" s="57" t="s">
        <v>187</v>
      </c>
    </row>
    <row r="56" spans="1:13" ht="16" x14ac:dyDescent="0.4">
      <c r="A56" s="4">
        <v>47</v>
      </c>
      <c r="B56" s="6" t="s">
        <v>87</v>
      </c>
      <c r="C56" s="8" t="s">
        <v>88</v>
      </c>
      <c r="D56" s="59">
        <v>43678</v>
      </c>
      <c r="E56" s="67">
        <f t="shared" ca="1" si="0"/>
        <v>6</v>
      </c>
      <c r="F56" s="63"/>
      <c r="G56" s="6"/>
      <c r="H56" s="29"/>
      <c r="I56" s="23" t="s">
        <v>161</v>
      </c>
      <c r="J56" s="41"/>
      <c r="K56" s="18">
        <v>60</v>
      </c>
      <c r="L56" s="10" t="s">
        <v>150</v>
      </c>
      <c r="M56" s="57" t="s">
        <v>199</v>
      </c>
    </row>
    <row r="57" spans="1:13" ht="16" x14ac:dyDescent="0.4">
      <c r="A57" s="3">
        <v>64</v>
      </c>
      <c r="B57" s="6" t="s">
        <v>89</v>
      </c>
      <c r="C57" s="8" t="s">
        <v>90</v>
      </c>
      <c r="D57" s="59">
        <v>44128</v>
      </c>
      <c r="E57" s="67">
        <f t="shared" ca="1" si="0"/>
        <v>5</v>
      </c>
      <c r="F57" s="63"/>
      <c r="G57" s="6"/>
      <c r="H57" s="29"/>
      <c r="I57" s="23" t="s">
        <v>161</v>
      </c>
      <c r="J57" s="41"/>
      <c r="K57" s="18">
        <v>60</v>
      </c>
      <c r="L57" s="10" t="s">
        <v>150</v>
      </c>
      <c r="M57" s="57" t="s">
        <v>199</v>
      </c>
    </row>
    <row r="58" spans="1:13" ht="16" x14ac:dyDescent="0.4">
      <c r="A58" s="3">
        <v>53</v>
      </c>
      <c r="B58" s="6" t="s">
        <v>91</v>
      </c>
      <c r="C58" s="8" t="s">
        <v>92</v>
      </c>
      <c r="D58" s="59">
        <v>43666</v>
      </c>
      <c r="E58" s="67">
        <f t="shared" ca="1" si="0"/>
        <v>6</v>
      </c>
      <c r="F58" s="63"/>
      <c r="G58" s="6"/>
      <c r="H58" s="29"/>
      <c r="I58" s="23" t="s">
        <v>159</v>
      </c>
      <c r="J58" s="41"/>
      <c r="K58" s="18">
        <v>60</v>
      </c>
      <c r="L58" s="10" t="s">
        <v>150</v>
      </c>
      <c r="M58" s="57" t="s">
        <v>199</v>
      </c>
    </row>
    <row r="59" spans="1:13" ht="16" hidden="1" x14ac:dyDescent="0.4">
      <c r="A59" s="3">
        <v>32</v>
      </c>
      <c r="B59" s="6" t="s">
        <v>93</v>
      </c>
      <c r="C59" s="8" t="s">
        <v>94</v>
      </c>
      <c r="D59" s="59">
        <v>41764</v>
      </c>
      <c r="E59" s="67">
        <f t="shared" ca="1" si="0"/>
        <v>11</v>
      </c>
      <c r="F59" s="63"/>
      <c r="G59" s="6"/>
      <c r="H59" s="29"/>
      <c r="I59" s="24" t="s">
        <v>157</v>
      </c>
      <c r="J59" s="41"/>
      <c r="K59" s="12">
        <v>45</v>
      </c>
      <c r="L59" s="10" t="s">
        <v>150</v>
      </c>
    </row>
    <row r="60" spans="1:13" ht="16" hidden="1" x14ac:dyDescent="0.4">
      <c r="A60" s="5">
        <v>89</v>
      </c>
      <c r="B60" s="6" t="s">
        <v>93</v>
      </c>
      <c r="C60" s="8" t="s">
        <v>95</v>
      </c>
      <c r="D60" s="59">
        <v>40719</v>
      </c>
      <c r="E60" s="67">
        <f t="shared" ca="1" si="0"/>
        <v>14</v>
      </c>
      <c r="F60" s="63"/>
      <c r="G60" s="6"/>
      <c r="H60" s="29"/>
      <c r="I60" s="24" t="s">
        <v>157</v>
      </c>
      <c r="J60" s="41"/>
      <c r="K60" s="12">
        <v>45</v>
      </c>
      <c r="L60" s="10" t="s">
        <v>150</v>
      </c>
    </row>
    <row r="61" spans="1:13" ht="16" hidden="1" x14ac:dyDescent="0.4">
      <c r="A61" s="5">
        <v>68</v>
      </c>
      <c r="B61" s="6" t="s">
        <v>96</v>
      </c>
      <c r="C61" s="8" t="s">
        <v>97</v>
      </c>
      <c r="D61" s="59">
        <v>44982</v>
      </c>
      <c r="E61" s="67">
        <f t="shared" ca="1" si="0"/>
        <v>3</v>
      </c>
      <c r="F61" s="63"/>
      <c r="G61" s="6"/>
      <c r="H61" s="29"/>
      <c r="I61" s="24" t="s">
        <v>151</v>
      </c>
      <c r="J61" s="41"/>
      <c r="K61" s="12">
        <v>45</v>
      </c>
      <c r="L61" s="10" t="s">
        <v>150</v>
      </c>
    </row>
    <row r="62" spans="1:13" ht="16" hidden="1" x14ac:dyDescent="0.4">
      <c r="A62" s="3">
        <v>95</v>
      </c>
      <c r="B62" s="6" t="s">
        <v>98</v>
      </c>
      <c r="C62" s="8" t="s">
        <v>99</v>
      </c>
      <c r="D62" s="59">
        <v>43678</v>
      </c>
      <c r="E62" s="67">
        <f t="shared" ca="1" si="0"/>
        <v>6</v>
      </c>
      <c r="F62" s="63"/>
      <c r="G62" s="6"/>
      <c r="H62" s="29"/>
      <c r="I62" s="25" t="s">
        <v>160</v>
      </c>
      <c r="J62" s="41"/>
      <c r="K62" s="12">
        <v>45</v>
      </c>
      <c r="L62" s="10" t="s">
        <v>150</v>
      </c>
    </row>
    <row r="63" spans="1:13" ht="16" hidden="1" x14ac:dyDescent="0.4">
      <c r="A63" s="3">
        <v>96</v>
      </c>
      <c r="B63" s="6" t="s">
        <v>100</v>
      </c>
      <c r="C63" s="8" t="s">
        <v>101</v>
      </c>
      <c r="D63" s="59">
        <v>44596</v>
      </c>
      <c r="E63" s="67">
        <f t="shared" ca="1" si="0"/>
        <v>4</v>
      </c>
      <c r="F63" s="52"/>
      <c r="G63" s="8"/>
      <c r="H63" s="112"/>
      <c r="I63" s="25" t="s">
        <v>160</v>
      </c>
      <c r="J63" s="41"/>
      <c r="K63" s="12">
        <v>45</v>
      </c>
      <c r="L63" s="10" t="s">
        <v>150</v>
      </c>
    </row>
    <row r="64" spans="1:13" ht="16" x14ac:dyDescent="0.4">
      <c r="A64" s="4">
        <v>86</v>
      </c>
      <c r="B64" s="6" t="s">
        <v>102</v>
      </c>
      <c r="C64" s="8" t="s">
        <v>103</v>
      </c>
      <c r="D64" s="59">
        <v>41621</v>
      </c>
      <c r="E64" s="67">
        <f t="shared" ca="1" si="0"/>
        <v>12</v>
      </c>
      <c r="F64" s="63"/>
      <c r="G64" s="6"/>
      <c r="H64" s="29"/>
      <c r="I64" s="19" t="s">
        <v>160</v>
      </c>
      <c r="J64" s="41"/>
      <c r="K64" s="18">
        <v>60</v>
      </c>
      <c r="L64" s="26" t="s">
        <v>163</v>
      </c>
    </row>
    <row r="65" spans="1:12" ht="16" hidden="1" x14ac:dyDescent="0.4">
      <c r="A65" s="3">
        <v>33</v>
      </c>
      <c r="B65" s="6" t="s">
        <v>102</v>
      </c>
      <c r="C65" s="8" t="s">
        <v>102</v>
      </c>
      <c r="D65" s="59">
        <v>31663</v>
      </c>
      <c r="E65" s="67">
        <f t="shared" ca="1" si="0"/>
        <v>39</v>
      </c>
      <c r="F65" s="63"/>
      <c r="G65" s="6"/>
      <c r="H65" s="29"/>
      <c r="I65" s="15" t="s">
        <v>156</v>
      </c>
      <c r="J65" s="41"/>
      <c r="K65" s="12">
        <v>20</v>
      </c>
      <c r="L65" s="26" t="s">
        <v>163</v>
      </c>
    </row>
    <row r="66" spans="1:12" ht="16" hidden="1" x14ac:dyDescent="0.4">
      <c r="A66" s="4">
        <v>52</v>
      </c>
      <c r="B66" s="6" t="s">
        <v>24</v>
      </c>
      <c r="C66" s="8" t="s">
        <v>104</v>
      </c>
      <c r="D66" s="59">
        <v>43096</v>
      </c>
      <c r="E66" s="67">
        <f t="shared" ca="1" si="0"/>
        <v>8</v>
      </c>
      <c r="F66" s="63"/>
      <c r="G66" s="6"/>
      <c r="H66" s="29"/>
      <c r="I66" s="15" t="s">
        <v>155</v>
      </c>
      <c r="J66" s="41"/>
      <c r="K66" s="12">
        <v>50</v>
      </c>
      <c r="L66" s="26" t="s">
        <v>163</v>
      </c>
    </row>
    <row r="67" spans="1:12" ht="16" x14ac:dyDescent="0.4">
      <c r="A67" s="3">
        <v>16</v>
      </c>
      <c r="B67" s="6" t="s">
        <v>105</v>
      </c>
      <c r="C67" s="8" t="s">
        <v>106</v>
      </c>
      <c r="D67" s="70">
        <v>41847</v>
      </c>
      <c r="E67" s="67">
        <f t="shared" ca="1" si="0"/>
        <v>11</v>
      </c>
      <c r="F67" s="63"/>
      <c r="G67" s="6"/>
      <c r="H67" s="29"/>
      <c r="I67" s="27" t="s">
        <v>162</v>
      </c>
      <c r="J67" s="41"/>
      <c r="K67" s="14">
        <v>60</v>
      </c>
      <c r="L67" s="26" t="s">
        <v>163</v>
      </c>
    </row>
    <row r="68" spans="1:12" ht="16" hidden="1" x14ac:dyDescent="0.4">
      <c r="A68" s="3">
        <v>9</v>
      </c>
      <c r="B68" s="6" t="s">
        <v>107</v>
      </c>
      <c r="C68" s="8" t="s">
        <v>108</v>
      </c>
      <c r="D68" s="68">
        <v>42231</v>
      </c>
      <c r="E68" s="67">
        <f t="shared" ref="E68:E97" ca="1" si="1">DATEDIF(D68,TODAY(),"Y")</f>
        <v>10</v>
      </c>
      <c r="F68" s="63"/>
      <c r="G68" s="6"/>
      <c r="H68" s="29"/>
      <c r="I68" s="27" t="s">
        <v>156</v>
      </c>
      <c r="J68" s="41"/>
      <c r="K68" s="12">
        <v>50</v>
      </c>
      <c r="L68" s="26" t="s">
        <v>163</v>
      </c>
    </row>
    <row r="69" spans="1:12" ht="16" hidden="1" x14ac:dyDescent="0.4">
      <c r="A69" s="3">
        <v>21</v>
      </c>
      <c r="B69" s="6" t="s">
        <v>107</v>
      </c>
      <c r="C69" s="8" t="s">
        <v>109</v>
      </c>
      <c r="D69" s="69">
        <v>41503</v>
      </c>
      <c r="E69" s="67">
        <f t="shared" ca="1" si="1"/>
        <v>12</v>
      </c>
      <c r="F69" s="63"/>
      <c r="G69" s="6"/>
      <c r="H69" s="29"/>
      <c r="I69" s="28" t="s">
        <v>161</v>
      </c>
      <c r="J69" s="41"/>
      <c r="K69" s="12">
        <v>50</v>
      </c>
      <c r="L69" s="26" t="s">
        <v>163</v>
      </c>
    </row>
    <row r="70" spans="1:12" ht="16" hidden="1" x14ac:dyDescent="0.4">
      <c r="A70" s="3">
        <v>5</v>
      </c>
      <c r="B70" s="6" t="s">
        <v>107</v>
      </c>
      <c r="C70" s="8" t="s">
        <v>110</v>
      </c>
      <c r="D70" s="59">
        <v>29517</v>
      </c>
      <c r="E70" s="67">
        <f t="shared" ca="1" si="1"/>
        <v>45</v>
      </c>
      <c r="F70" s="63"/>
      <c r="G70" s="6"/>
      <c r="H70" s="29"/>
      <c r="I70" s="28" t="s">
        <v>161</v>
      </c>
      <c r="J70" s="41"/>
      <c r="K70" s="12">
        <v>30</v>
      </c>
      <c r="L70" s="26" t="s">
        <v>163</v>
      </c>
    </row>
    <row r="71" spans="1:12" ht="16" hidden="1" x14ac:dyDescent="0.4">
      <c r="A71" s="3">
        <v>7</v>
      </c>
      <c r="B71" s="6" t="s">
        <v>111</v>
      </c>
      <c r="C71" s="8" t="s">
        <v>112</v>
      </c>
      <c r="D71" s="68">
        <v>40244</v>
      </c>
      <c r="E71" s="67">
        <f t="shared" ca="1" si="1"/>
        <v>16</v>
      </c>
      <c r="F71" s="63"/>
      <c r="G71" s="6"/>
      <c r="H71" s="29"/>
      <c r="I71" s="27" t="s">
        <v>162</v>
      </c>
      <c r="J71" s="41"/>
      <c r="K71" s="12">
        <v>0</v>
      </c>
      <c r="L71" s="26" t="s">
        <v>163</v>
      </c>
    </row>
    <row r="72" spans="1:12" ht="16" hidden="1" x14ac:dyDescent="0.4">
      <c r="A72" s="3">
        <v>8</v>
      </c>
      <c r="B72" s="6" t="s">
        <v>111</v>
      </c>
      <c r="C72" s="8" t="s">
        <v>113</v>
      </c>
      <c r="D72" s="68">
        <v>39397</v>
      </c>
      <c r="E72" s="67">
        <f t="shared" ca="1" si="1"/>
        <v>18</v>
      </c>
      <c r="F72" s="63"/>
      <c r="G72" s="6"/>
      <c r="H72" s="29"/>
      <c r="I72" s="27" t="s">
        <v>162</v>
      </c>
      <c r="J72" s="41"/>
      <c r="K72" s="12">
        <v>0</v>
      </c>
      <c r="L72" s="26" t="s">
        <v>163</v>
      </c>
    </row>
    <row r="73" spans="1:12" ht="16" hidden="1" x14ac:dyDescent="0.4">
      <c r="A73" s="3">
        <v>17</v>
      </c>
      <c r="B73" s="6" t="s">
        <v>114</v>
      </c>
      <c r="C73" s="8" t="s">
        <v>115</v>
      </c>
      <c r="D73" s="70">
        <v>40460</v>
      </c>
      <c r="E73" s="67">
        <f t="shared" ca="1" si="1"/>
        <v>15</v>
      </c>
      <c r="F73" s="63"/>
      <c r="G73" s="6"/>
      <c r="H73" s="29"/>
      <c r="I73" s="27" t="s">
        <v>162</v>
      </c>
      <c r="J73" s="41"/>
      <c r="K73" s="12">
        <v>45</v>
      </c>
      <c r="L73" s="26" t="s">
        <v>163</v>
      </c>
    </row>
    <row r="74" spans="1:12" ht="16" hidden="1" x14ac:dyDescent="0.4">
      <c r="A74" s="3">
        <v>87</v>
      </c>
      <c r="B74" s="6" t="s">
        <v>116</v>
      </c>
      <c r="C74" s="8" t="s">
        <v>117</v>
      </c>
      <c r="D74" s="59">
        <v>43467</v>
      </c>
      <c r="E74" s="67">
        <f t="shared" ca="1" si="1"/>
        <v>7</v>
      </c>
      <c r="F74" s="63"/>
      <c r="G74" s="6"/>
      <c r="H74" s="29"/>
      <c r="I74" s="19" t="s">
        <v>160</v>
      </c>
      <c r="J74" s="41"/>
      <c r="K74" s="12">
        <v>45</v>
      </c>
      <c r="L74" s="26" t="s">
        <v>163</v>
      </c>
    </row>
    <row r="75" spans="1:12" ht="16" x14ac:dyDescent="0.4">
      <c r="A75" s="3">
        <v>61</v>
      </c>
      <c r="B75" s="6" t="s">
        <v>118</v>
      </c>
      <c r="C75" s="8" t="s">
        <v>119</v>
      </c>
      <c r="D75" s="59">
        <v>42415</v>
      </c>
      <c r="E75" s="67">
        <f t="shared" ca="1" si="1"/>
        <v>10</v>
      </c>
      <c r="F75" s="63"/>
      <c r="G75" s="6"/>
      <c r="H75" s="29"/>
      <c r="I75" s="29" t="s">
        <v>155</v>
      </c>
      <c r="J75" s="41"/>
      <c r="K75" s="14">
        <v>60</v>
      </c>
      <c r="L75" s="26" t="s">
        <v>163</v>
      </c>
    </row>
    <row r="76" spans="1:12" ht="16" x14ac:dyDescent="0.4">
      <c r="A76" s="4">
        <v>68</v>
      </c>
      <c r="B76" s="6" t="s">
        <v>120</v>
      </c>
      <c r="C76" s="8" t="s">
        <v>121</v>
      </c>
      <c r="D76" s="59">
        <v>42996</v>
      </c>
      <c r="E76" s="67">
        <f t="shared" ca="1" si="1"/>
        <v>8</v>
      </c>
      <c r="F76" s="63"/>
      <c r="G76" s="6"/>
      <c r="H76" s="29"/>
      <c r="I76" s="11" t="s">
        <v>151</v>
      </c>
      <c r="J76" s="41"/>
      <c r="K76" s="14">
        <v>60</v>
      </c>
      <c r="L76" s="26" t="s">
        <v>163</v>
      </c>
    </row>
    <row r="77" spans="1:12" ht="16" x14ac:dyDescent="0.4">
      <c r="A77" s="3">
        <v>56</v>
      </c>
      <c r="B77" s="6" t="s">
        <v>122</v>
      </c>
      <c r="C77" s="8" t="s">
        <v>123</v>
      </c>
      <c r="D77" s="59">
        <v>44287</v>
      </c>
      <c r="E77" s="67">
        <f t="shared" ca="1" si="1"/>
        <v>5</v>
      </c>
      <c r="F77" s="63"/>
      <c r="G77" s="6"/>
      <c r="H77" s="29"/>
      <c r="I77" s="28" t="s">
        <v>161</v>
      </c>
      <c r="J77" s="41"/>
      <c r="K77" s="14">
        <v>60</v>
      </c>
      <c r="L77" s="26" t="s">
        <v>163</v>
      </c>
    </row>
    <row r="78" spans="1:12" ht="16" x14ac:dyDescent="0.4">
      <c r="A78" s="4">
        <v>75</v>
      </c>
      <c r="B78" s="6" t="s">
        <v>124</v>
      </c>
      <c r="C78" s="8" t="s">
        <v>125</v>
      </c>
      <c r="D78" s="59">
        <v>44102</v>
      </c>
      <c r="E78" s="67">
        <f t="shared" ca="1" si="1"/>
        <v>5</v>
      </c>
      <c r="F78" s="63"/>
      <c r="G78" s="6"/>
      <c r="H78" s="29"/>
      <c r="I78" s="30" t="s">
        <v>160</v>
      </c>
      <c r="J78" s="41"/>
      <c r="K78" s="31">
        <v>60</v>
      </c>
      <c r="L78" s="26" t="s">
        <v>163</v>
      </c>
    </row>
    <row r="79" spans="1:12" ht="16" x14ac:dyDescent="0.4">
      <c r="A79" s="3">
        <v>80</v>
      </c>
      <c r="B79" s="6" t="s">
        <v>126</v>
      </c>
      <c r="C79" s="8" t="s">
        <v>127</v>
      </c>
      <c r="D79" s="59">
        <v>44653</v>
      </c>
      <c r="E79" s="67">
        <f t="shared" ca="1" si="1"/>
        <v>4</v>
      </c>
      <c r="F79" s="65"/>
      <c r="G79" s="53"/>
      <c r="H79" s="113"/>
      <c r="I79" s="32" t="s">
        <v>161</v>
      </c>
      <c r="J79" s="41"/>
      <c r="K79" s="31">
        <v>60</v>
      </c>
      <c r="L79" s="26" t="s">
        <v>163</v>
      </c>
    </row>
    <row r="80" spans="1:12" ht="16" x14ac:dyDescent="0.4">
      <c r="A80" s="3">
        <v>72</v>
      </c>
      <c r="B80" s="6" t="s">
        <v>128</v>
      </c>
      <c r="C80" s="8" t="s">
        <v>129</v>
      </c>
      <c r="D80" s="59">
        <v>44734</v>
      </c>
      <c r="E80" s="67">
        <f t="shared" ca="1" si="1"/>
        <v>3</v>
      </c>
      <c r="F80" s="63"/>
      <c r="G80" s="6"/>
      <c r="H80" s="29"/>
      <c r="I80" s="17" t="s">
        <v>153</v>
      </c>
      <c r="J80" s="41"/>
      <c r="K80" s="31">
        <v>60</v>
      </c>
      <c r="L80" s="26" t="s">
        <v>163</v>
      </c>
    </row>
    <row r="81" spans="1:12" ht="16" x14ac:dyDescent="0.4">
      <c r="A81" s="5">
        <v>85</v>
      </c>
      <c r="B81" s="6" t="s">
        <v>130</v>
      </c>
      <c r="C81" s="8" t="s">
        <v>130</v>
      </c>
      <c r="D81" s="59">
        <v>42746</v>
      </c>
      <c r="E81" s="67">
        <f t="shared" ca="1" si="1"/>
        <v>9</v>
      </c>
      <c r="F81" s="63"/>
      <c r="G81" s="6"/>
      <c r="H81" s="29"/>
      <c r="I81" s="29" t="s">
        <v>158</v>
      </c>
      <c r="J81" s="41"/>
      <c r="K81" s="18">
        <v>60</v>
      </c>
      <c r="L81" s="26" t="s">
        <v>163</v>
      </c>
    </row>
    <row r="82" spans="1:12" ht="16" hidden="1" x14ac:dyDescent="0.4">
      <c r="A82" s="5">
        <v>78</v>
      </c>
      <c r="B82" s="6" t="s">
        <v>0</v>
      </c>
      <c r="C82" s="8" t="s">
        <v>131</v>
      </c>
      <c r="D82" s="59">
        <v>43501</v>
      </c>
      <c r="E82" s="67">
        <f t="shared" ca="1" si="1"/>
        <v>7</v>
      </c>
      <c r="I82" s="17" t="s">
        <v>158</v>
      </c>
      <c r="J82" s="41"/>
      <c r="K82" s="12">
        <v>45</v>
      </c>
      <c r="L82" s="26" t="s">
        <v>163</v>
      </c>
    </row>
    <row r="83" spans="1:12" ht="16" hidden="1" x14ac:dyDescent="0.4">
      <c r="A83" s="5">
        <v>54</v>
      </c>
      <c r="B83" s="6" t="s">
        <v>132</v>
      </c>
      <c r="C83" s="8" t="s">
        <v>133</v>
      </c>
      <c r="D83" s="59">
        <v>43703</v>
      </c>
      <c r="E83" s="67">
        <f t="shared" ca="1" si="1"/>
        <v>6</v>
      </c>
      <c r="I83" s="20" t="s">
        <v>161</v>
      </c>
      <c r="J83" s="41"/>
      <c r="K83" s="12">
        <v>45</v>
      </c>
      <c r="L83" s="26" t="s">
        <v>163</v>
      </c>
    </row>
    <row r="84" spans="1:12" ht="16" hidden="1" x14ac:dyDescent="0.4">
      <c r="A84" s="5">
        <v>66</v>
      </c>
      <c r="B84" s="6" t="s">
        <v>134</v>
      </c>
      <c r="C84" s="8" t="s">
        <v>135</v>
      </c>
      <c r="D84" s="59">
        <v>41771</v>
      </c>
      <c r="E84" s="67">
        <f t="shared" ca="1" si="1"/>
        <v>11</v>
      </c>
      <c r="I84" s="20" t="s">
        <v>161</v>
      </c>
      <c r="J84" s="41"/>
      <c r="K84" s="12">
        <v>45</v>
      </c>
      <c r="L84" s="26" t="s">
        <v>163</v>
      </c>
    </row>
    <row r="85" spans="1:12" ht="16" hidden="1" x14ac:dyDescent="0.4">
      <c r="A85" s="3">
        <v>70</v>
      </c>
      <c r="B85" s="6" t="s">
        <v>136</v>
      </c>
      <c r="C85" s="8" t="s">
        <v>137</v>
      </c>
      <c r="D85" s="59">
        <v>43941</v>
      </c>
      <c r="E85" s="67">
        <f t="shared" ca="1" si="1"/>
        <v>6</v>
      </c>
      <c r="I85" s="20" t="s">
        <v>161</v>
      </c>
      <c r="J85" s="41"/>
      <c r="K85" s="12">
        <v>45</v>
      </c>
      <c r="L85" s="26" t="s">
        <v>163</v>
      </c>
    </row>
    <row r="86" spans="1:12" ht="16" x14ac:dyDescent="0.4">
      <c r="A86" s="4">
        <v>59</v>
      </c>
      <c r="B86" s="6" t="s">
        <v>138</v>
      </c>
      <c r="C86" s="8" t="s">
        <v>139</v>
      </c>
      <c r="D86" s="59">
        <v>43085</v>
      </c>
      <c r="E86" s="67">
        <f t="shared" ca="1" si="1"/>
        <v>8</v>
      </c>
      <c r="I86" s="20" t="s">
        <v>161</v>
      </c>
      <c r="J86" s="41"/>
      <c r="K86" s="18">
        <v>60</v>
      </c>
      <c r="L86" s="26" t="s">
        <v>163</v>
      </c>
    </row>
    <row r="87" spans="1:12" ht="16" hidden="1" x14ac:dyDescent="0.4">
      <c r="A87" s="3">
        <v>49</v>
      </c>
      <c r="B87" s="6" t="s">
        <v>140</v>
      </c>
      <c r="C87" s="8" t="s">
        <v>141</v>
      </c>
      <c r="D87" s="59">
        <v>42364</v>
      </c>
      <c r="E87" s="67">
        <f t="shared" ca="1" si="1"/>
        <v>10</v>
      </c>
      <c r="I87" s="20" t="s">
        <v>161</v>
      </c>
      <c r="J87" s="41"/>
      <c r="K87" s="12">
        <v>25</v>
      </c>
      <c r="L87" s="26" t="s">
        <v>163</v>
      </c>
    </row>
    <row r="88" spans="1:12" ht="16" hidden="1" x14ac:dyDescent="0.4">
      <c r="A88" s="4">
        <v>62</v>
      </c>
      <c r="B88" s="6" t="s">
        <v>140</v>
      </c>
      <c r="C88" s="8" t="s">
        <v>140</v>
      </c>
      <c r="D88" s="59">
        <v>36334</v>
      </c>
      <c r="E88" s="67">
        <f t="shared" ca="1" si="1"/>
        <v>26</v>
      </c>
      <c r="I88" s="20" t="s">
        <v>161</v>
      </c>
      <c r="J88" s="41"/>
      <c r="K88" s="12">
        <v>20</v>
      </c>
      <c r="L88" s="26" t="s">
        <v>163</v>
      </c>
    </row>
    <row r="89" spans="1:12" ht="16" hidden="1" x14ac:dyDescent="0.4">
      <c r="A89" s="3">
        <v>92</v>
      </c>
      <c r="B89" s="6" t="s">
        <v>142</v>
      </c>
      <c r="C89" s="8" t="s">
        <v>142</v>
      </c>
      <c r="D89" s="59">
        <v>42515</v>
      </c>
      <c r="E89" s="67">
        <f t="shared" ca="1" si="1"/>
        <v>9</v>
      </c>
      <c r="I89" s="20" t="s">
        <v>151</v>
      </c>
      <c r="J89" s="41"/>
      <c r="K89" s="12">
        <v>45</v>
      </c>
      <c r="L89" s="26" t="s">
        <v>163</v>
      </c>
    </row>
    <row r="90" spans="1:12" ht="16" hidden="1" x14ac:dyDescent="0.4">
      <c r="A90" s="3">
        <v>93</v>
      </c>
      <c r="B90" s="6" t="s">
        <v>143</v>
      </c>
      <c r="C90" s="8" t="s">
        <v>144</v>
      </c>
      <c r="D90" s="59">
        <v>44531</v>
      </c>
      <c r="E90" s="67">
        <f t="shared" ca="1" si="1"/>
        <v>4</v>
      </c>
      <c r="I90" s="20" t="s">
        <v>151</v>
      </c>
      <c r="J90" s="41"/>
      <c r="K90" s="12">
        <v>45</v>
      </c>
      <c r="L90" s="26" t="s">
        <v>163</v>
      </c>
    </row>
    <row r="91" spans="1:12" ht="16" hidden="1" x14ac:dyDescent="0.4">
      <c r="A91" s="3">
        <v>94</v>
      </c>
      <c r="B91" s="6" t="s">
        <v>145</v>
      </c>
      <c r="C91" s="8" t="s">
        <v>146</v>
      </c>
      <c r="D91" s="59">
        <v>44656</v>
      </c>
      <c r="E91" s="67">
        <f t="shared" ca="1" si="1"/>
        <v>4</v>
      </c>
      <c r="I91" s="20" t="s">
        <v>151</v>
      </c>
      <c r="J91" s="41"/>
      <c r="K91" s="12">
        <v>45</v>
      </c>
      <c r="L91" s="26" t="s">
        <v>163</v>
      </c>
    </row>
    <row r="92" spans="1:12" ht="16" hidden="1" x14ac:dyDescent="0.4">
      <c r="A92" s="3">
        <v>98</v>
      </c>
      <c r="B92" s="6" t="s">
        <v>214</v>
      </c>
      <c r="C92" s="6" t="s">
        <v>215</v>
      </c>
      <c r="D92" s="59">
        <v>44905</v>
      </c>
      <c r="E92" s="67">
        <f t="shared" ca="1" si="1"/>
        <v>3</v>
      </c>
    </row>
    <row r="93" spans="1:12" ht="16" hidden="1" x14ac:dyDescent="0.4">
      <c r="A93" s="71">
        <v>97</v>
      </c>
      <c r="B93" s="72" t="s">
        <v>214</v>
      </c>
      <c r="C93" s="72" t="s">
        <v>216</v>
      </c>
      <c r="D93" s="73">
        <v>43322</v>
      </c>
      <c r="E93" s="74">
        <f t="shared" ca="1" si="1"/>
        <v>7</v>
      </c>
    </row>
    <row r="94" spans="1:12" ht="16" hidden="1" x14ac:dyDescent="0.4">
      <c r="A94" s="41"/>
      <c r="B94" s="41"/>
      <c r="C94" s="41"/>
      <c r="D94" s="59"/>
      <c r="E94" s="67">
        <f t="shared" ca="1" si="1"/>
        <v>126</v>
      </c>
      <c r="F94" s="41"/>
      <c r="G94" s="41"/>
      <c r="H94" s="75"/>
      <c r="I94" s="41"/>
      <c r="L94" s="41"/>
    </row>
    <row r="95" spans="1:12" ht="16" hidden="1" x14ac:dyDescent="0.4">
      <c r="A95" s="41"/>
      <c r="B95" s="41"/>
      <c r="C95" s="41"/>
      <c r="D95" s="59"/>
      <c r="E95" s="67">
        <f t="shared" ca="1" si="1"/>
        <v>126</v>
      </c>
      <c r="F95" s="41"/>
      <c r="G95" s="41"/>
      <c r="H95" s="75"/>
      <c r="I95" s="41"/>
      <c r="L95" s="41"/>
    </row>
    <row r="96" spans="1:12" ht="16" hidden="1" x14ac:dyDescent="0.4">
      <c r="A96" s="41"/>
      <c r="B96" s="41"/>
      <c r="C96" s="41"/>
      <c r="D96" s="59"/>
      <c r="E96" s="67">
        <f t="shared" ca="1" si="1"/>
        <v>126</v>
      </c>
      <c r="F96" s="41"/>
      <c r="G96" s="41"/>
      <c r="H96" s="75"/>
      <c r="I96" s="41"/>
      <c r="L96" s="41"/>
    </row>
    <row r="97" spans="1:12" ht="16" hidden="1" x14ac:dyDescent="0.4">
      <c r="A97" s="41"/>
      <c r="B97" s="41"/>
      <c r="C97" s="41"/>
      <c r="D97" s="59"/>
      <c r="E97" s="67">
        <f t="shared" ca="1" si="1"/>
        <v>126</v>
      </c>
      <c r="F97" s="41"/>
      <c r="G97" s="41"/>
      <c r="H97" s="75"/>
      <c r="I97" s="41"/>
      <c r="L97" s="41"/>
    </row>
  </sheetData>
  <autoFilter ref="A1:AG97" xr:uid="{B857D925-4AC8-4B76-8FE7-9D703C635565}">
    <filterColumn colId="10">
      <filters>
        <filter val="$60.00"/>
      </filters>
    </filterColumn>
  </autoFilter>
  <sortState xmlns:xlrd2="http://schemas.microsoft.com/office/spreadsheetml/2017/richdata2" ref="A3:AG101">
    <sortCondition ref="M3:M101"/>
  </sortState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9446-A118-4CCA-8392-8FEF5882863B}">
  <dimension ref="A1:I93"/>
  <sheetViews>
    <sheetView tabSelected="1" workbookViewId="0">
      <selection activeCell="I26" sqref="I26"/>
    </sheetView>
  </sheetViews>
  <sheetFormatPr baseColWidth="10" defaultRowHeight="14.5" x14ac:dyDescent="0.35"/>
  <cols>
    <col min="2" max="2" width="23.453125" bestFit="1" customWidth="1"/>
    <col min="3" max="3" width="5.453125" bestFit="1" customWidth="1"/>
    <col min="4" max="4" width="7" customWidth="1"/>
    <col min="5" max="5" width="16.453125" customWidth="1"/>
  </cols>
  <sheetData>
    <row r="1" spans="1:6" ht="16" x14ac:dyDescent="0.4">
      <c r="A1" s="57" t="s">
        <v>218</v>
      </c>
      <c r="B1" s="2" t="s">
        <v>148</v>
      </c>
      <c r="C1" s="75" t="s">
        <v>200</v>
      </c>
      <c r="D1" s="41" t="s">
        <v>166</v>
      </c>
      <c r="E1" s="41" t="s">
        <v>217</v>
      </c>
      <c r="F1" t="s">
        <v>219</v>
      </c>
    </row>
    <row r="2" spans="1:6" ht="16" x14ac:dyDescent="0.4">
      <c r="A2" s="54">
        <v>1</v>
      </c>
      <c r="B2" s="88" t="s">
        <v>70</v>
      </c>
      <c r="C2" s="89">
        <v>3</v>
      </c>
      <c r="D2" s="90"/>
      <c r="E2" s="91"/>
    </row>
    <row r="3" spans="1:6" ht="16" x14ac:dyDescent="0.4">
      <c r="A3" s="54">
        <v>2</v>
      </c>
      <c r="B3" s="88" t="s">
        <v>80</v>
      </c>
      <c r="C3" s="89">
        <v>3</v>
      </c>
      <c r="D3" s="90"/>
      <c r="E3" s="91"/>
    </row>
    <row r="4" spans="1:6" ht="16" x14ac:dyDescent="0.4">
      <c r="A4" s="54">
        <v>3</v>
      </c>
      <c r="B4" s="88" t="s">
        <v>97</v>
      </c>
      <c r="C4" s="89">
        <v>3</v>
      </c>
      <c r="D4" s="90"/>
      <c r="E4" s="91"/>
    </row>
    <row r="5" spans="1:6" ht="16" x14ac:dyDescent="0.4">
      <c r="A5" s="54">
        <v>4</v>
      </c>
      <c r="B5" s="88" t="s">
        <v>129</v>
      </c>
      <c r="C5" s="89">
        <v>3</v>
      </c>
      <c r="D5" s="90"/>
      <c r="E5" s="91"/>
    </row>
    <row r="6" spans="1:6" ht="16" x14ac:dyDescent="0.4">
      <c r="A6" s="54">
        <v>5</v>
      </c>
      <c r="B6" s="88" t="s">
        <v>215</v>
      </c>
      <c r="C6" s="89">
        <v>3</v>
      </c>
      <c r="D6" s="90"/>
      <c r="E6" s="91"/>
    </row>
    <row r="7" spans="1:6" ht="16" x14ac:dyDescent="0.4">
      <c r="A7" s="54">
        <v>6</v>
      </c>
      <c r="B7" s="80" t="s">
        <v>74</v>
      </c>
      <c r="C7" s="81">
        <v>4</v>
      </c>
      <c r="D7" s="82"/>
      <c r="E7" s="83"/>
    </row>
    <row r="8" spans="1:6" ht="16" x14ac:dyDescent="0.4">
      <c r="A8" s="54">
        <v>7</v>
      </c>
      <c r="B8" s="80" t="s">
        <v>101</v>
      </c>
      <c r="C8" s="81">
        <v>4</v>
      </c>
      <c r="D8" s="82"/>
      <c r="E8" s="83"/>
    </row>
    <row r="9" spans="1:6" ht="16" x14ac:dyDescent="0.4">
      <c r="A9" s="54">
        <v>8</v>
      </c>
      <c r="B9" s="80" t="s">
        <v>127</v>
      </c>
      <c r="C9" s="81">
        <v>4</v>
      </c>
      <c r="D9" s="82"/>
      <c r="E9" s="83"/>
    </row>
    <row r="10" spans="1:6" ht="16" x14ac:dyDescent="0.4">
      <c r="A10" s="54">
        <v>9</v>
      </c>
      <c r="B10" s="80" t="s">
        <v>144</v>
      </c>
      <c r="C10" s="81">
        <v>4</v>
      </c>
      <c r="D10" s="82"/>
      <c r="E10" s="83"/>
    </row>
    <row r="11" spans="1:6" ht="16" x14ac:dyDescent="0.4">
      <c r="A11" s="54">
        <v>10</v>
      </c>
      <c r="B11" s="80" t="s">
        <v>146</v>
      </c>
      <c r="C11" s="81">
        <v>4</v>
      </c>
      <c r="D11" s="82"/>
      <c r="E11" s="83"/>
    </row>
    <row r="12" spans="1:6" ht="16" x14ac:dyDescent="0.4">
      <c r="A12" s="54">
        <v>17</v>
      </c>
      <c r="B12" s="80" t="s">
        <v>53</v>
      </c>
      <c r="C12" s="81">
        <v>4</v>
      </c>
      <c r="D12" s="82"/>
      <c r="E12" s="83"/>
    </row>
    <row r="13" spans="1:6" ht="16" x14ac:dyDescent="0.4">
      <c r="A13" s="54">
        <v>11</v>
      </c>
      <c r="B13" s="84" t="s">
        <v>40</v>
      </c>
      <c r="C13" s="85">
        <v>5</v>
      </c>
      <c r="D13" s="86"/>
      <c r="E13" s="87"/>
    </row>
    <row r="14" spans="1:6" ht="16" x14ac:dyDescent="0.4">
      <c r="A14" s="54">
        <v>12</v>
      </c>
      <c r="B14" s="84" t="s">
        <v>46</v>
      </c>
      <c r="C14" s="85">
        <v>5</v>
      </c>
      <c r="D14" s="86"/>
      <c r="E14" s="87"/>
    </row>
    <row r="15" spans="1:6" ht="16" x14ac:dyDescent="0.4">
      <c r="A15" s="54">
        <v>13</v>
      </c>
      <c r="B15" s="84" t="s">
        <v>51</v>
      </c>
      <c r="C15" s="85">
        <v>5</v>
      </c>
      <c r="D15" s="86"/>
      <c r="E15" s="87"/>
    </row>
    <row r="16" spans="1:6" ht="16" x14ac:dyDescent="0.4">
      <c r="A16" s="54">
        <v>14</v>
      </c>
      <c r="B16" s="84" t="s">
        <v>90</v>
      </c>
      <c r="C16" s="85">
        <v>5</v>
      </c>
      <c r="D16" s="86"/>
      <c r="E16" s="87"/>
    </row>
    <row r="17" spans="1:9" ht="16" x14ac:dyDescent="0.4">
      <c r="A17" s="54">
        <v>15</v>
      </c>
      <c r="B17" s="84" t="s">
        <v>123</v>
      </c>
      <c r="C17" s="85">
        <v>5</v>
      </c>
      <c r="D17" s="86"/>
      <c r="E17" s="87"/>
    </row>
    <row r="18" spans="1:9" ht="16" x14ac:dyDescent="0.4">
      <c r="A18" s="54">
        <v>16</v>
      </c>
      <c r="B18" s="84" t="s">
        <v>125</v>
      </c>
      <c r="C18" s="85">
        <v>5</v>
      </c>
      <c r="D18" s="86"/>
      <c r="E18" s="87" t="s">
        <v>220</v>
      </c>
    </row>
    <row r="19" spans="1:9" ht="16" x14ac:dyDescent="0.4">
      <c r="A19" s="54">
        <v>18</v>
      </c>
      <c r="B19" s="88" t="s">
        <v>84</v>
      </c>
      <c r="C19" s="89">
        <v>6</v>
      </c>
      <c r="D19" s="90"/>
      <c r="E19" s="91"/>
    </row>
    <row r="20" spans="1:9" ht="16" x14ac:dyDescent="0.4">
      <c r="A20" s="54">
        <v>19</v>
      </c>
      <c r="B20" s="88" t="s">
        <v>86</v>
      </c>
      <c r="C20" s="89">
        <v>6</v>
      </c>
      <c r="D20" s="90"/>
      <c r="E20" s="91"/>
    </row>
    <row r="21" spans="1:9" ht="16" x14ac:dyDescent="0.4">
      <c r="A21" s="54">
        <v>20</v>
      </c>
      <c r="B21" s="88" t="s">
        <v>88</v>
      </c>
      <c r="C21" s="89">
        <v>6</v>
      </c>
      <c r="D21" s="90"/>
      <c r="E21" s="91"/>
    </row>
    <row r="22" spans="1:9" ht="16" x14ac:dyDescent="0.4">
      <c r="A22" s="54">
        <v>21</v>
      </c>
      <c r="B22" s="88" t="s">
        <v>92</v>
      </c>
      <c r="C22" s="89">
        <v>6</v>
      </c>
      <c r="D22" s="90"/>
      <c r="E22" s="91"/>
    </row>
    <row r="23" spans="1:9" ht="16" x14ac:dyDescent="0.4">
      <c r="A23" s="54">
        <v>22</v>
      </c>
      <c r="B23" s="88" t="s">
        <v>99</v>
      </c>
      <c r="C23" s="89">
        <v>6</v>
      </c>
      <c r="D23" s="90"/>
      <c r="E23" s="91"/>
      <c r="I23" t="s">
        <v>221</v>
      </c>
    </row>
    <row r="24" spans="1:9" ht="16" x14ac:dyDescent="0.4">
      <c r="A24" s="54">
        <v>23</v>
      </c>
      <c r="B24" s="88" t="s">
        <v>133</v>
      </c>
      <c r="C24" s="89">
        <v>6</v>
      </c>
      <c r="D24" s="90"/>
      <c r="E24" s="91"/>
    </row>
    <row r="25" spans="1:9" ht="16" x14ac:dyDescent="0.4">
      <c r="A25" s="54">
        <v>24</v>
      </c>
      <c r="B25" s="88" t="s">
        <v>137</v>
      </c>
      <c r="C25" s="89">
        <v>6</v>
      </c>
      <c r="D25" s="90"/>
      <c r="E25" s="91"/>
    </row>
    <row r="26" spans="1:9" ht="16" x14ac:dyDescent="0.4">
      <c r="A26" s="54">
        <v>25</v>
      </c>
      <c r="B26" s="88" t="s">
        <v>16</v>
      </c>
      <c r="C26" s="89">
        <v>7</v>
      </c>
      <c r="D26" s="90"/>
      <c r="E26" s="91"/>
    </row>
    <row r="27" spans="1:9" ht="16" x14ac:dyDescent="0.4">
      <c r="A27" s="54">
        <v>26</v>
      </c>
      <c r="B27" s="88" t="s">
        <v>22</v>
      </c>
      <c r="C27" s="89">
        <v>7</v>
      </c>
      <c r="D27" s="90"/>
      <c r="E27" s="91"/>
    </row>
    <row r="28" spans="1:9" ht="16" x14ac:dyDescent="0.4">
      <c r="A28" s="54">
        <v>27</v>
      </c>
      <c r="B28" s="88" t="s">
        <v>34</v>
      </c>
      <c r="C28" s="89">
        <v>7</v>
      </c>
      <c r="D28" s="90"/>
      <c r="E28" s="91"/>
    </row>
    <row r="29" spans="1:9" ht="16" x14ac:dyDescent="0.4">
      <c r="A29" s="54">
        <v>28</v>
      </c>
      <c r="B29" s="88" t="s">
        <v>38</v>
      </c>
      <c r="C29" s="89">
        <v>7</v>
      </c>
      <c r="D29" s="90"/>
      <c r="E29" s="91"/>
    </row>
    <row r="30" spans="1:9" ht="16" x14ac:dyDescent="0.4">
      <c r="A30" s="54">
        <v>29</v>
      </c>
      <c r="B30" s="88" t="s">
        <v>57</v>
      </c>
      <c r="C30" s="89">
        <v>7</v>
      </c>
      <c r="D30" s="90"/>
      <c r="E30" s="91"/>
    </row>
    <row r="31" spans="1:9" ht="16" x14ac:dyDescent="0.4">
      <c r="A31" s="54">
        <v>30</v>
      </c>
      <c r="B31" s="88" t="s">
        <v>63</v>
      </c>
      <c r="C31" s="89">
        <v>7</v>
      </c>
      <c r="D31" s="90"/>
      <c r="E31" s="91"/>
    </row>
    <row r="32" spans="1:9" ht="16" x14ac:dyDescent="0.4">
      <c r="A32" s="54">
        <v>31</v>
      </c>
      <c r="B32" s="88" t="s">
        <v>65</v>
      </c>
      <c r="C32" s="89">
        <v>7</v>
      </c>
      <c r="D32" s="90"/>
      <c r="E32" s="91"/>
    </row>
    <row r="33" spans="1:5" ht="16" x14ac:dyDescent="0.4">
      <c r="A33" s="54">
        <v>32</v>
      </c>
      <c r="B33" s="88" t="s">
        <v>67</v>
      </c>
      <c r="C33" s="89">
        <v>7</v>
      </c>
      <c r="D33" s="90"/>
      <c r="E33" s="91"/>
    </row>
    <row r="34" spans="1:5" ht="16" x14ac:dyDescent="0.4">
      <c r="A34" s="54">
        <v>33</v>
      </c>
      <c r="B34" s="88" t="s">
        <v>72</v>
      </c>
      <c r="C34" s="89">
        <v>7</v>
      </c>
      <c r="D34" s="90"/>
      <c r="E34" s="91"/>
    </row>
    <row r="35" spans="1:5" ht="16" x14ac:dyDescent="0.4">
      <c r="A35" s="54">
        <v>34</v>
      </c>
      <c r="B35" s="88" t="s">
        <v>78</v>
      </c>
      <c r="C35" s="89">
        <v>7</v>
      </c>
      <c r="D35" s="90"/>
      <c r="E35" s="91"/>
    </row>
    <row r="36" spans="1:5" ht="16" x14ac:dyDescent="0.4">
      <c r="A36" s="54">
        <v>35</v>
      </c>
      <c r="B36" s="88" t="s">
        <v>117</v>
      </c>
      <c r="C36" s="89">
        <v>7</v>
      </c>
      <c r="D36" s="90"/>
      <c r="E36" s="91"/>
    </row>
    <row r="37" spans="1:5" ht="16" x14ac:dyDescent="0.4">
      <c r="A37" s="54">
        <v>36</v>
      </c>
      <c r="B37" s="88" t="s">
        <v>131</v>
      </c>
      <c r="C37" s="89">
        <v>7</v>
      </c>
      <c r="D37" s="90"/>
      <c r="E37" s="91"/>
    </row>
    <row r="38" spans="1:5" ht="16" x14ac:dyDescent="0.4">
      <c r="A38" s="54">
        <v>37</v>
      </c>
      <c r="B38" s="88" t="s">
        <v>216</v>
      </c>
      <c r="C38" s="89">
        <v>7</v>
      </c>
      <c r="D38" s="90"/>
      <c r="E38" s="91"/>
    </row>
    <row r="39" spans="1:5" ht="16" x14ac:dyDescent="0.4">
      <c r="A39" s="54">
        <v>38</v>
      </c>
      <c r="B39" s="92" t="s">
        <v>26</v>
      </c>
      <c r="C39" s="93">
        <v>8</v>
      </c>
      <c r="D39" s="94"/>
      <c r="E39" s="95"/>
    </row>
    <row r="40" spans="1:5" ht="16" x14ac:dyDescent="0.4">
      <c r="A40" s="54">
        <v>39</v>
      </c>
      <c r="B40" s="92" t="s">
        <v>31</v>
      </c>
      <c r="C40" s="93">
        <v>8</v>
      </c>
      <c r="D40" s="94"/>
      <c r="E40" s="95"/>
    </row>
    <row r="41" spans="1:5" ht="16" x14ac:dyDescent="0.4">
      <c r="A41" s="54">
        <v>40</v>
      </c>
      <c r="B41" s="92" t="s">
        <v>42</v>
      </c>
      <c r="C41" s="93">
        <v>8</v>
      </c>
      <c r="D41" s="94"/>
      <c r="E41" s="95"/>
    </row>
    <row r="42" spans="1:5" ht="16" x14ac:dyDescent="0.4">
      <c r="A42" s="54">
        <v>41</v>
      </c>
      <c r="B42" s="92" t="s">
        <v>55</v>
      </c>
      <c r="C42" s="93">
        <v>8</v>
      </c>
      <c r="D42" s="94"/>
      <c r="E42" s="95"/>
    </row>
    <row r="43" spans="1:5" ht="16" x14ac:dyDescent="0.4">
      <c r="A43" s="54">
        <v>42</v>
      </c>
      <c r="B43" s="92" t="s">
        <v>104</v>
      </c>
      <c r="C43" s="93">
        <v>8</v>
      </c>
      <c r="D43" s="94"/>
      <c r="E43" s="95"/>
    </row>
    <row r="44" spans="1:5" ht="16" x14ac:dyDescent="0.4">
      <c r="A44" s="54">
        <v>43</v>
      </c>
      <c r="B44" s="92" t="s">
        <v>121</v>
      </c>
      <c r="C44" s="93">
        <v>8</v>
      </c>
      <c r="D44" s="94"/>
      <c r="E44" s="95"/>
    </row>
    <row r="45" spans="1:5" ht="16" x14ac:dyDescent="0.4">
      <c r="A45" s="54">
        <v>44</v>
      </c>
      <c r="B45" s="92" t="s">
        <v>139</v>
      </c>
      <c r="C45" s="93">
        <v>8</v>
      </c>
      <c r="D45" s="94"/>
      <c r="E45" s="95"/>
    </row>
    <row r="46" spans="1:5" ht="16" x14ac:dyDescent="0.4">
      <c r="A46" s="54">
        <v>45</v>
      </c>
      <c r="B46" s="92" t="s">
        <v>10</v>
      </c>
      <c r="C46" s="93">
        <v>9</v>
      </c>
      <c r="D46" s="94"/>
      <c r="E46" s="95"/>
    </row>
    <row r="47" spans="1:5" ht="16" x14ac:dyDescent="0.4">
      <c r="A47" s="54">
        <v>46</v>
      </c>
      <c r="B47" s="92" t="s">
        <v>14</v>
      </c>
      <c r="C47" s="93">
        <v>9</v>
      </c>
      <c r="D47" s="94"/>
      <c r="E47" s="95"/>
    </row>
    <row r="48" spans="1:5" ht="16" x14ac:dyDescent="0.4">
      <c r="A48" s="54">
        <v>47</v>
      </c>
      <c r="B48" s="92" t="s">
        <v>130</v>
      </c>
      <c r="C48" s="93">
        <v>9</v>
      </c>
      <c r="D48" s="94"/>
      <c r="E48" s="95"/>
    </row>
    <row r="49" spans="1:5" ht="16" x14ac:dyDescent="0.4">
      <c r="A49" s="54">
        <v>48</v>
      </c>
      <c r="B49" s="92" t="s">
        <v>142</v>
      </c>
      <c r="C49" s="93">
        <v>9</v>
      </c>
      <c r="D49" s="94"/>
      <c r="E49" s="95"/>
    </row>
    <row r="50" spans="1:5" ht="16" x14ac:dyDescent="0.4">
      <c r="A50" s="54">
        <v>49</v>
      </c>
      <c r="B50" s="96" t="s">
        <v>1</v>
      </c>
      <c r="C50" s="97">
        <v>10</v>
      </c>
      <c r="D50" s="98"/>
      <c r="E50" s="99"/>
    </row>
    <row r="51" spans="1:5" ht="16" x14ac:dyDescent="0.4">
      <c r="A51" s="54">
        <v>50</v>
      </c>
      <c r="B51" s="96" t="s">
        <v>29</v>
      </c>
      <c r="C51" s="97">
        <v>10</v>
      </c>
      <c r="D51" s="98"/>
      <c r="E51" s="99"/>
    </row>
    <row r="52" spans="1:5" ht="16" x14ac:dyDescent="0.4">
      <c r="A52" s="54">
        <v>51</v>
      </c>
      <c r="B52" s="96" t="s">
        <v>36</v>
      </c>
      <c r="C52" s="97">
        <v>10</v>
      </c>
      <c r="D52" s="98"/>
      <c r="E52" s="99"/>
    </row>
    <row r="53" spans="1:5" ht="16" x14ac:dyDescent="0.4">
      <c r="A53" s="54">
        <v>52</v>
      </c>
      <c r="B53" s="96" t="s">
        <v>76</v>
      </c>
      <c r="C53" s="97">
        <v>10</v>
      </c>
      <c r="D53" s="98"/>
      <c r="E53" s="99"/>
    </row>
    <row r="54" spans="1:5" ht="16" x14ac:dyDescent="0.4">
      <c r="A54" s="54">
        <v>53</v>
      </c>
      <c r="B54" s="96" t="s">
        <v>108</v>
      </c>
      <c r="C54" s="97">
        <v>10</v>
      </c>
      <c r="D54" s="98"/>
      <c r="E54" s="99"/>
    </row>
    <row r="55" spans="1:5" ht="16" x14ac:dyDescent="0.4">
      <c r="A55" s="54">
        <v>54</v>
      </c>
      <c r="B55" s="96" t="s">
        <v>119</v>
      </c>
      <c r="C55" s="97">
        <v>10</v>
      </c>
      <c r="D55" s="98"/>
      <c r="E55" s="99"/>
    </row>
    <row r="56" spans="1:5" ht="16" x14ac:dyDescent="0.4">
      <c r="A56" s="54">
        <v>55</v>
      </c>
      <c r="B56" s="96" t="s">
        <v>141</v>
      </c>
      <c r="C56" s="97">
        <v>10</v>
      </c>
      <c r="D56" s="98"/>
      <c r="E56" s="99"/>
    </row>
    <row r="57" spans="1:5" ht="16" x14ac:dyDescent="0.4">
      <c r="A57" s="54">
        <v>56</v>
      </c>
      <c r="B57" s="96" t="s">
        <v>9</v>
      </c>
      <c r="C57" s="97">
        <v>11</v>
      </c>
      <c r="D57" s="98"/>
      <c r="E57" s="99"/>
    </row>
    <row r="58" spans="1:5" ht="16" x14ac:dyDescent="0.4">
      <c r="A58" s="54">
        <v>57</v>
      </c>
      <c r="B58" s="96" t="s">
        <v>44</v>
      </c>
      <c r="C58" s="97">
        <v>11</v>
      </c>
      <c r="D58" s="98"/>
      <c r="E58" s="99"/>
    </row>
    <row r="59" spans="1:5" ht="16" x14ac:dyDescent="0.4">
      <c r="A59" s="54">
        <v>58</v>
      </c>
      <c r="B59" s="96" t="s">
        <v>94</v>
      </c>
      <c r="C59" s="97">
        <v>11</v>
      </c>
      <c r="D59" s="98"/>
      <c r="E59" s="99"/>
    </row>
    <row r="60" spans="1:5" ht="16" x14ac:dyDescent="0.4">
      <c r="A60" s="54">
        <v>59</v>
      </c>
      <c r="B60" s="96" t="s">
        <v>106</v>
      </c>
      <c r="C60" s="97">
        <v>11</v>
      </c>
      <c r="D60" s="98"/>
      <c r="E60" s="99"/>
    </row>
    <row r="61" spans="1:5" ht="16" x14ac:dyDescent="0.4">
      <c r="A61" s="54">
        <v>60</v>
      </c>
      <c r="B61" s="96" t="s">
        <v>135</v>
      </c>
      <c r="C61" s="97">
        <v>11</v>
      </c>
      <c r="D61" s="98"/>
      <c r="E61" s="99"/>
    </row>
    <row r="62" spans="1:5" ht="16" x14ac:dyDescent="0.4">
      <c r="A62" s="54">
        <v>61</v>
      </c>
      <c r="B62" s="80" t="s">
        <v>6</v>
      </c>
      <c r="C62" s="81">
        <v>12</v>
      </c>
      <c r="D62" s="82"/>
      <c r="E62" s="83"/>
    </row>
    <row r="63" spans="1:5" ht="16" x14ac:dyDescent="0.4">
      <c r="A63" s="54">
        <v>62</v>
      </c>
      <c r="B63" s="80" t="s">
        <v>49</v>
      </c>
      <c r="C63" s="81">
        <v>12</v>
      </c>
      <c r="D63" s="82"/>
      <c r="E63" s="83"/>
    </row>
    <row r="64" spans="1:5" ht="16" x14ac:dyDescent="0.4">
      <c r="A64" s="54">
        <v>63</v>
      </c>
      <c r="B64" s="80" t="s">
        <v>103</v>
      </c>
      <c r="C64" s="81">
        <v>12</v>
      </c>
      <c r="D64" s="82"/>
      <c r="E64" s="83"/>
    </row>
    <row r="65" spans="1:5" ht="16" x14ac:dyDescent="0.4">
      <c r="A65" s="54">
        <v>64</v>
      </c>
      <c r="B65" s="80" t="s">
        <v>109</v>
      </c>
      <c r="C65" s="81">
        <v>12</v>
      </c>
      <c r="D65" s="82"/>
      <c r="E65" s="83"/>
    </row>
    <row r="66" spans="1:5" ht="16" x14ac:dyDescent="0.4">
      <c r="A66" s="54">
        <v>65</v>
      </c>
      <c r="B66" s="80" t="s">
        <v>12</v>
      </c>
      <c r="C66" s="81">
        <v>13</v>
      </c>
      <c r="D66" s="82"/>
      <c r="E66" s="83"/>
    </row>
    <row r="67" spans="1:5" ht="16" x14ac:dyDescent="0.4">
      <c r="A67" s="54">
        <v>66</v>
      </c>
      <c r="B67" s="80" t="s">
        <v>48</v>
      </c>
      <c r="C67" s="81">
        <v>13</v>
      </c>
      <c r="D67" s="82"/>
      <c r="E67" s="83"/>
    </row>
    <row r="68" spans="1:5" ht="16" x14ac:dyDescent="0.4">
      <c r="A68" s="54">
        <v>67</v>
      </c>
      <c r="B68" s="80" t="s">
        <v>68</v>
      </c>
      <c r="C68" s="81">
        <v>13</v>
      </c>
      <c r="D68" s="82"/>
      <c r="E68" s="83"/>
    </row>
    <row r="69" spans="1:5" ht="16" x14ac:dyDescent="0.4">
      <c r="A69" s="54">
        <v>68</v>
      </c>
      <c r="B69" s="100" t="s">
        <v>82</v>
      </c>
      <c r="C69" s="101">
        <v>14</v>
      </c>
      <c r="D69" s="102"/>
      <c r="E69" s="103"/>
    </row>
    <row r="70" spans="1:5" ht="16" x14ac:dyDescent="0.4">
      <c r="A70" s="54">
        <v>69</v>
      </c>
      <c r="B70" s="100" t="s">
        <v>95</v>
      </c>
      <c r="C70" s="101">
        <v>14</v>
      </c>
      <c r="D70" s="102"/>
      <c r="E70" s="103"/>
    </row>
    <row r="71" spans="1:5" ht="16" x14ac:dyDescent="0.4">
      <c r="A71" s="54">
        <v>70</v>
      </c>
      <c r="B71" s="100" t="s">
        <v>3</v>
      </c>
      <c r="C71" s="101">
        <v>15</v>
      </c>
      <c r="D71" s="102"/>
      <c r="E71" s="103"/>
    </row>
    <row r="72" spans="1:5" ht="16" x14ac:dyDescent="0.4">
      <c r="A72" s="54">
        <v>71</v>
      </c>
      <c r="B72" s="100" t="s">
        <v>8</v>
      </c>
      <c r="C72" s="101">
        <v>15</v>
      </c>
      <c r="D72" s="102"/>
      <c r="E72" s="103"/>
    </row>
    <row r="73" spans="1:5" ht="16" x14ac:dyDescent="0.4">
      <c r="A73" s="54">
        <v>72</v>
      </c>
      <c r="B73" s="104" t="s">
        <v>19</v>
      </c>
      <c r="C73" s="101">
        <v>15</v>
      </c>
      <c r="D73" s="102"/>
      <c r="E73" s="103"/>
    </row>
    <row r="74" spans="1:5" ht="16" x14ac:dyDescent="0.4">
      <c r="A74" s="54">
        <v>73</v>
      </c>
      <c r="B74" s="100" t="s">
        <v>32</v>
      </c>
      <c r="C74" s="101">
        <v>15</v>
      </c>
      <c r="D74" s="102"/>
      <c r="E74" s="103"/>
    </row>
    <row r="75" spans="1:5" ht="16" x14ac:dyDescent="0.4">
      <c r="A75" s="54">
        <v>74</v>
      </c>
      <c r="B75" s="100" t="s">
        <v>115</v>
      </c>
      <c r="C75" s="101">
        <v>15</v>
      </c>
      <c r="D75" s="102"/>
      <c r="E75" s="103"/>
    </row>
    <row r="76" spans="1:5" ht="16" x14ac:dyDescent="0.4">
      <c r="A76" s="54">
        <v>75</v>
      </c>
      <c r="B76" s="76" t="s">
        <v>5</v>
      </c>
      <c r="C76" s="77">
        <v>16</v>
      </c>
      <c r="D76" s="78"/>
      <c r="E76" s="79"/>
    </row>
    <row r="77" spans="1:5" ht="16" x14ac:dyDescent="0.4">
      <c r="A77" s="54">
        <v>76</v>
      </c>
      <c r="B77" s="76" t="s">
        <v>112</v>
      </c>
      <c r="C77" s="77">
        <v>16</v>
      </c>
      <c r="D77" s="78"/>
      <c r="E77" s="79"/>
    </row>
    <row r="78" spans="1:5" ht="16" x14ac:dyDescent="0.4">
      <c r="A78" s="54">
        <v>77</v>
      </c>
      <c r="B78" s="105" t="s">
        <v>59</v>
      </c>
      <c r="C78" s="106">
        <v>18</v>
      </c>
      <c r="D78" s="40"/>
      <c r="E78" s="107"/>
    </row>
    <row r="79" spans="1:5" ht="16" x14ac:dyDescent="0.4">
      <c r="A79" s="54">
        <v>78</v>
      </c>
      <c r="B79" s="105" t="s">
        <v>113</v>
      </c>
      <c r="C79" s="106">
        <v>18</v>
      </c>
      <c r="D79" s="40"/>
      <c r="E79" s="107"/>
    </row>
    <row r="80" spans="1:5" ht="16" x14ac:dyDescent="0.4">
      <c r="A80" s="54">
        <v>79</v>
      </c>
      <c r="B80" s="105" t="s">
        <v>140</v>
      </c>
      <c r="C80" s="106">
        <v>26</v>
      </c>
      <c r="D80" s="40"/>
      <c r="E80" s="107"/>
    </row>
    <row r="81" spans="1:5" ht="16" x14ac:dyDescent="0.4">
      <c r="A81" s="54">
        <v>80</v>
      </c>
      <c r="B81" s="108" t="s">
        <v>201</v>
      </c>
      <c r="C81" s="109">
        <v>37</v>
      </c>
      <c r="D81" s="110"/>
      <c r="E81" s="111"/>
    </row>
    <row r="82" spans="1:5" ht="16" x14ac:dyDescent="0.4">
      <c r="A82" s="54">
        <v>81</v>
      </c>
      <c r="B82" s="108" t="s">
        <v>24</v>
      </c>
      <c r="C82" s="109">
        <v>38</v>
      </c>
      <c r="D82" s="110"/>
      <c r="E82" s="111"/>
    </row>
    <row r="83" spans="1:5" ht="16" x14ac:dyDescent="0.4">
      <c r="A83" s="54">
        <v>82</v>
      </c>
      <c r="B83" s="108" t="s">
        <v>41</v>
      </c>
      <c r="C83" s="109">
        <v>39</v>
      </c>
      <c r="D83" s="110"/>
      <c r="E83" s="111"/>
    </row>
    <row r="84" spans="1:5" ht="16" x14ac:dyDescent="0.4">
      <c r="A84" s="54">
        <v>83</v>
      </c>
      <c r="B84" s="108" t="s">
        <v>102</v>
      </c>
      <c r="C84" s="109">
        <v>39</v>
      </c>
      <c r="D84" s="110"/>
      <c r="E84" s="111"/>
    </row>
    <row r="85" spans="1:5" ht="16" x14ac:dyDescent="0.4">
      <c r="A85" s="54">
        <v>84</v>
      </c>
      <c r="B85" s="108" t="s">
        <v>23</v>
      </c>
      <c r="C85" s="109">
        <v>41</v>
      </c>
      <c r="D85" s="110"/>
      <c r="E85" s="111"/>
    </row>
    <row r="86" spans="1:5" ht="16" x14ac:dyDescent="0.4">
      <c r="A86" s="54">
        <v>85</v>
      </c>
      <c r="B86" s="108" t="s">
        <v>110</v>
      </c>
      <c r="C86" s="109">
        <v>45</v>
      </c>
      <c r="D86" s="110"/>
      <c r="E86" s="111"/>
    </row>
    <row r="87" spans="1:5" ht="16" x14ac:dyDescent="0.4">
      <c r="A87" s="54">
        <v>86</v>
      </c>
      <c r="B87" s="108" t="s">
        <v>17</v>
      </c>
      <c r="C87" s="109">
        <v>48</v>
      </c>
      <c r="D87" s="110"/>
      <c r="E87" s="111"/>
    </row>
    <row r="88" spans="1:5" ht="16" x14ac:dyDescent="0.4">
      <c r="A88" s="54">
        <v>87</v>
      </c>
      <c r="B88" s="108" t="s">
        <v>27</v>
      </c>
      <c r="C88" s="109">
        <v>48</v>
      </c>
      <c r="D88" s="110"/>
      <c r="E88" s="111"/>
    </row>
    <row r="89" spans="1:5" ht="16" x14ac:dyDescent="0.4">
      <c r="A89" s="54">
        <v>88</v>
      </c>
      <c r="B89" s="108" t="s">
        <v>15</v>
      </c>
      <c r="C89" s="109">
        <v>49</v>
      </c>
      <c r="D89" s="110"/>
      <c r="E89" s="111"/>
    </row>
    <row r="90" spans="1:5" ht="16" x14ac:dyDescent="0.4">
      <c r="A90" s="54">
        <v>89</v>
      </c>
      <c r="B90" s="108" t="s">
        <v>22</v>
      </c>
      <c r="C90" s="109">
        <v>49</v>
      </c>
      <c r="D90" s="110"/>
      <c r="E90" s="111"/>
    </row>
    <row r="91" spans="1:5" ht="16" x14ac:dyDescent="0.4">
      <c r="A91" s="54">
        <v>90</v>
      </c>
      <c r="B91" s="108" t="s">
        <v>7</v>
      </c>
      <c r="C91" s="109">
        <v>52</v>
      </c>
      <c r="D91" s="110"/>
      <c r="E91" s="111"/>
    </row>
    <row r="92" spans="1:5" ht="16" x14ac:dyDescent="0.4">
      <c r="A92" s="54">
        <v>91</v>
      </c>
      <c r="B92" s="6" t="s">
        <v>20</v>
      </c>
      <c r="C92" s="75">
        <v>126</v>
      </c>
      <c r="D92" s="41"/>
    </row>
    <row r="93" spans="1:5" ht="16" x14ac:dyDescent="0.4">
      <c r="A93" s="54">
        <v>92</v>
      </c>
      <c r="B93" s="6" t="s">
        <v>61</v>
      </c>
      <c r="C93" s="75">
        <v>126</v>
      </c>
      <c r="D93" s="41"/>
    </row>
  </sheetData>
  <sortState xmlns:xlrd2="http://schemas.microsoft.com/office/spreadsheetml/2017/richdata2" ref="A2:E93">
    <sortCondition ref="C2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Generales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sanchez</dc:creator>
  <cp:lastModifiedBy>Cristhian Prestan</cp:lastModifiedBy>
  <dcterms:created xsi:type="dcterms:W3CDTF">2026-04-20T00:14:13Z</dcterms:created>
  <dcterms:modified xsi:type="dcterms:W3CDTF">2026-04-27T13:05:51Z</dcterms:modified>
</cp:coreProperties>
</file>